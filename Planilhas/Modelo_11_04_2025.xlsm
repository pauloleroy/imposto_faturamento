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5e516fced229401/Documentos/Programas_e_Planilhas/Imposto_Faturamento/Codigos/"/>
    </mc:Choice>
  </mc:AlternateContent>
  <xr:revisionPtr revIDLastSave="16187" documentId="8_{5CC49208-565B-45B2-AF70-4B5229A74269}" xr6:coauthVersionLast="47" xr6:coauthVersionMax="47" xr10:uidLastSave="{8607D02D-E61E-4824-BA86-8BA136F5AD12}"/>
  <bookViews>
    <workbookView xWindow="-120" yWindow="-120" windowWidth="38640" windowHeight="15720" xr2:uid="{DAC1C149-F580-468F-AAC8-0B9AC3FD60B4}"/>
  </bookViews>
  <sheets>
    <sheet name="Menu" sheetId="4" r:id="rId1"/>
    <sheet name="ResumoMensal" sheetId="3" r:id="rId2"/>
    <sheet name="NFs" sheetId="1" r:id="rId3"/>
    <sheet name="filelist" sheetId="2" state="hidden" r:id="rId4"/>
  </sheets>
  <functionGroups builtInGroupCount="19"/>
  <definedNames>
    <definedName name="_xlnm._FilterDatabase" localSheetId="2" hidden="1">NFs!#REF!</definedName>
    <definedName name="_xlnm._FilterDatabase" localSheetId="1" hidden="1">ResumoMensal!$A$6:$S$6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A10" i="4" a="1"/>
  <c r="A10" i="4" l="1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B7" i="3"/>
  <c r="G7" i="3" s="1"/>
  <c r="I7" i="3" s="1"/>
  <c r="B8" i="3"/>
  <c r="G8" i="3" s="1"/>
  <c r="I8" i="3" s="1"/>
  <c r="B9" i="3"/>
  <c r="G9" i="3" s="1"/>
  <c r="I9" i="3" s="1"/>
  <c r="B10" i="3"/>
  <c r="G10" i="3" s="1"/>
  <c r="I10" i="3" s="1"/>
  <c r="B11" i="3"/>
  <c r="G11" i="3" s="1"/>
  <c r="I11" i="3" s="1"/>
  <c r="B12" i="3"/>
  <c r="G12" i="3" s="1"/>
  <c r="I12" i="3" s="1"/>
  <c r="B13" i="3"/>
  <c r="G13" i="3" s="1"/>
  <c r="I13" i="3" s="1"/>
  <c r="B14" i="3"/>
  <c r="G14" i="3" s="1"/>
  <c r="I14" i="3" s="1"/>
  <c r="B15" i="3"/>
  <c r="G15" i="3" s="1"/>
  <c r="I15" i="3" s="1"/>
  <c r="B16" i="3"/>
  <c r="G16" i="3" s="1"/>
  <c r="I16" i="3" s="1"/>
  <c r="B17" i="3"/>
  <c r="G17" i="3" s="1"/>
  <c r="I17" i="3" s="1"/>
  <c r="B18" i="3"/>
  <c r="G18" i="3" s="1"/>
  <c r="I18" i="3" s="1"/>
  <c r="B19" i="3"/>
  <c r="G19" i="3" s="1"/>
  <c r="B20" i="3"/>
  <c r="G20" i="3" s="1"/>
  <c r="I20" i="3" s="1"/>
  <c r="B21" i="3"/>
  <c r="G21" i="3" s="1"/>
  <c r="I21" i="3" s="1"/>
  <c r="B22" i="3"/>
  <c r="G22" i="3" s="1"/>
  <c r="I22" i="3" s="1"/>
  <c r="B23" i="3"/>
  <c r="G23" i="3" s="1"/>
  <c r="I23" i="3" s="1"/>
  <c r="B24" i="3"/>
  <c r="G24" i="3" s="1"/>
  <c r="I24" i="3" s="1"/>
  <c r="B25" i="3"/>
  <c r="G25" i="3" s="1"/>
  <c r="I25" i="3" s="1"/>
  <c r="B26" i="3"/>
  <c r="G26" i="3" s="1"/>
  <c r="I26" i="3" s="1"/>
  <c r="B27" i="3"/>
  <c r="G27" i="3" s="1"/>
  <c r="I27" i="3" s="1"/>
  <c r="B28" i="3"/>
  <c r="G28" i="3" s="1"/>
  <c r="I28" i="3" s="1"/>
  <c r="B29" i="3"/>
  <c r="G29" i="3" s="1"/>
  <c r="I29" i="3" s="1"/>
  <c r="B30" i="3"/>
  <c r="G30" i="3" s="1"/>
  <c r="I30" i="3" s="1"/>
  <c r="B31" i="3"/>
  <c r="G31" i="3" s="1"/>
  <c r="I31" i="3" s="1"/>
  <c r="B32" i="3"/>
  <c r="G32" i="3" s="1"/>
  <c r="I32" i="3" s="1"/>
  <c r="B33" i="3"/>
  <c r="G33" i="3" s="1"/>
  <c r="I33" i="3" s="1"/>
  <c r="B34" i="3"/>
  <c r="G34" i="3" s="1"/>
  <c r="I34" i="3" s="1"/>
  <c r="B35" i="3"/>
  <c r="G35" i="3" s="1"/>
  <c r="I35" i="3" s="1"/>
  <c r="B36" i="3"/>
  <c r="G36" i="3" s="1"/>
  <c r="I36" i="3" s="1"/>
  <c r="B37" i="3"/>
  <c r="G37" i="3" s="1"/>
  <c r="I37" i="3" s="1"/>
  <c r="B38" i="3"/>
  <c r="G38" i="3" s="1"/>
  <c r="I38" i="3" s="1"/>
  <c r="B39" i="3"/>
  <c r="G39" i="3" s="1"/>
  <c r="I39" i="3" s="1"/>
  <c r="B40" i="3"/>
  <c r="G40" i="3" s="1"/>
  <c r="I40" i="3" s="1"/>
  <c r="B41" i="3"/>
  <c r="G41" i="3" s="1"/>
  <c r="I41" i="3" s="1"/>
  <c r="B42" i="3"/>
  <c r="G42" i="3" s="1"/>
  <c r="I42" i="3" s="1"/>
  <c r="B43" i="3"/>
  <c r="G43" i="3" s="1"/>
  <c r="I43" i="3" s="1"/>
  <c r="B44" i="3"/>
  <c r="G44" i="3" s="1"/>
  <c r="I44" i="3" s="1"/>
  <c r="B45" i="3"/>
  <c r="G45" i="3" s="1"/>
  <c r="I45" i="3" s="1"/>
  <c r="B46" i="3"/>
  <c r="G46" i="3" s="1"/>
  <c r="I46" i="3" s="1"/>
  <c r="B47" i="3"/>
  <c r="G47" i="3" s="1"/>
  <c r="I47" i="3" s="1"/>
  <c r="B48" i="3"/>
  <c r="G48" i="3" s="1"/>
  <c r="I48" i="3" s="1"/>
  <c r="B49" i="3"/>
  <c r="G49" i="3" s="1"/>
  <c r="I49" i="3" s="1"/>
  <c r="B50" i="3"/>
  <c r="G50" i="3" s="1"/>
  <c r="I50" i="3" s="1"/>
  <c r="B51" i="3"/>
  <c r="G51" i="3" s="1"/>
  <c r="I51" i="3" s="1"/>
  <c r="B52" i="3"/>
  <c r="G52" i="3" s="1"/>
  <c r="I52" i="3" s="1"/>
  <c r="B53" i="3"/>
  <c r="G53" i="3" s="1"/>
  <c r="I53" i="3" s="1"/>
  <c r="B54" i="3"/>
  <c r="G54" i="3" s="1"/>
  <c r="I54" i="3" s="1"/>
  <c r="B55" i="3"/>
  <c r="G55" i="3" s="1"/>
  <c r="I55" i="3" s="1"/>
  <c r="B56" i="3"/>
  <c r="G56" i="3" s="1"/>
  <c r="I56" i="3" s="1"/>
  <c r="B57" i="3"/>
  <c r="G57" i="3" s="1"/>
  <c r="I57" i="3" s="1"/>
  <c r="B58" i="3"/>
  <c r="G58" i="3" s="1"/>
  <c r="I58" i="3" s="1"/>
  <c r="B59" i="3"/>
  <c r="G59" i="3" s="1"/>
  <c r="I59" i="3" s="1"/>
  <c r="B60" i="3"/>
  <c r="G60" i="3" s="1"/>
  <c r="I60" i="3" s="1"/>
  <c r="B61" i="3"/>
  <c r="G61" i="3" s="1"/>
  <c r="I61" i="3" s="1"/>
  <c r="B62" i="3"/>
  <c r="G62" i="3" s="1"/>
  <c r="I62" i="3" s="1"/>
  <c r="B63" i="3"/>
  <c r="G63" i="3" s="1"/>
  <c r="I63" i="3" s="1"/>
  <c r="B64" i="3"/>
  <c r="G64" i="3" s="1"/>
  <c r="I64" i="3" s="1"/>
  <c r="B65" i="3"/>
  <c r="G65" i="3" s="1"/>
  <c r="I65" i="3" s="1"/>
  <c r="B66" i="3"/>
  <c r="G66" i="3" s="1"/>
  <c r="I66" i="3" s="1"/>
  <c r="B67" i="3"/>
  <c r="G67" i="3" s="1"/>
  <c r="I67" i="3" s="1"/>
  <c r="B68" i="3"/>
  <c r="G68" i="3" s="1"/>
  <c r="I68" i="3" s="1"/>
  <c r="B69" i="3"/>
  <c r="G69" i="3" s="1"/>
  <c r="I69" i="3" s="1"/>
  <c r="B70" i="3"/>
  <c r="G70" i="3" s="1"/>
  <c r="I70" i="3" s="1"/>
  <c r="B71" i="3"/>
  <c r="G71" i="3" s="1"/>
  <c r="I71" i="3" s="1"/>
  <c r="B72" i="3"/>
  <c r="G72" i="3" s="1"/>
  <c r="I72" i="3" s="1"/>
  <c r="B73" i="3"/>
  <c r="G73" i="3" s="1"/>
  <c r="I73" i="3" s="1"/>
  <c r="B74" i="3"/>
  <c r="G74" i="3" s="1"/>
  <c r="I74" i="3" s="1"/>
  <c r="B75" i="3"/>
  <c r="G75" i="3" s="1"/>
  <c r="I75" i="3" s="1"/>
  <c r="B76" i="3"/>
  <c r="G76" i="3" s="1"/>
  <c r="I76" i="3" s="1"/>
  <c r="B77" i="3"/>
  <c r="G77" i="3" s="1"/>
  <c r="I77" i="3" s="1"/>
  <c r="B78" i="3"/>
  <c r="G78" i="3" s="1"/>
  <c r="I78" i="3" s="1"/>
  <c r="B79" i="3"/>
  <c r="G79" i="3" s="1"/>
  <c r="I79" i="3" s="1"/>
  <c r="J23" i="3" l="1"/>
  <c r="J7" i="3"/>
  <c r="I19" i="3"/>
  <c r="J19" i="3" s="1"/>
  <c r="D2" i="4"/>
  <c r="J21" i="3"/>
  <c r="J13" i="3"/>
  <c r="J29" i="3"/>
  <c r="J10" i="3"/>
  <c r="J18" i="3"/>
  <c r="J47" i="3"/>
  <c r="J39" i="3"/>
  <c r="J31" i="3"/>
  <c r="J36" i="3"/>
  <c r="J28" i="3"/>
  <c r="J20" i="3"/>
  <c r="J12" i="3"/>
  <c r="J34" i="3"/>
  <c r="J26" i="3"/>
  <c r="J61" i="3"/>
  <c r="J53" i="3"/>
  <c r="J45" i="3"/>
  <c r="J77" i="3"/>
  <c r="J74" i="3"/>
  <c r="J66" i="3"/>
  <c r="J58" i="3"/>
  <c r="J50" i="3"/>
  <c r="J42" i="3"/>
  <c r="J76" i="3"/>
  <c r="J79" i="3"/>
  <c r="J71" i="3"/>
  <c r="J63" i="3"/>
  <c r="J55" i="3"/>
  <c r="J68" i="3"/>
  <c r="J60" i="3"/>
  <c r="J52" i="3"/>
  <c r="J44" i="3"/>
  <c r="J15" i="3"/>
  <c r="J78" i="3"/>
  <c r="J70" i="3"/>
  <c r="J62" i="3"/>
  <c r="J54" i="3"/>
  <c r="J46" i="3"/>
  <c r="J38" i="3"/>
  <c r="J30" i="3"/>
  <c r="J22" i="3"/>
  <c r="J73" i="3"/>
  <c r="J65" i="3"/>
  <c r="J57" i="3"/>
  <c r="J49" i="3"/>
  <c r="J41" i="3"/>
  <c r="J33" i="3"/>
  <c r="J25" i="3"/>
  <c r="J17" i="3"/>
  <c r="J9" i="3"/>
  <c r="J75" i="3"/>
  <c r="J67" i="3"/>
  <c r="J59" i="3"/>
  <c r="J51" i="3"/>
  <c r="J43" i="3"/>
  <c r="J35" i="3"/>
  <c r="J27" i="3"/>
  <c r="J11" i="3"/>
  <c r="J72" i="3"/>
  <c r="J64" i="3"/>
  <c r="J56" i="3"/>
  <c r="J48" i="3"/>
  <c r="J40" i="3"/>
  <c r="J32" i="3"/>
  <c r="J24" i="3"/>
  <c r="J16" i="3"/>
  <c r="J8" i="3"/>
  <c r="J69" i="3"/>
  <c r="J37" i="3"/>
  <c r="J14" i="3"/>
  <c r="R69" i="3"/>
  <c r="S69" i="3" s="1"/>
  <c r="R62" i="3"/>
  <c r="S62" i="3" s="1"/>
  <c r="R37" i="3"/>
  <c r="S37" i="3" s="1"/>
  <c r="R30" i="3"/>
  <c r="S30" i="3" s="1"/>
  <c r="R61" i="3"/>
  <c r="S61" i="3" s="1"/>
  <c r="R29" i="3"/>
  <c r="S29" i="3" s="1"/>
  <c r="R54" i="3"/>
  <c r="S54" i="3" s="1"/>
  <c r="R22" i="3"/>
  <c r="S22" i="3" s="1"/>
  <c r="R53" i="3"/>
  <c r="S53" i="3" s="1"/>
  <c r="R21" i="3"/>
  <c r="S21" i="3" s="1"/>
  <c r="R78" i="3"/>
  <c r="S78" i="3" s="1"/>
  <c r="R46" i="3"/>
  <c r="S46" i="3" s="1"/>
  <c r="R14" i="3"/>
  <c r="S14" i="3" s="1"/>
  <c r="R77" i="3"/>
  <c r="S77" i="3" s="1"/>
  <c r="R45" i="3"/>
  <c r="S45" i="3" s="1"/>
  <c r="R13" i="3"/>
  <c r="S13" i="3" s="1"/>
  <c r="R70" i="3"/>
  <c r="S70" i="3" s="1"/>
  <c r="R38" i="3"/>
  <c r="S38" i="3" s="1"/>
  <c r="R76" i="3"/>
  <c r="S76" i="3" s="1"/>
  <c r="R68" i="3"/>
  <c r="S68" i="3" s="1"/>
  <c r="R60" i="3"/>
  <c r="S60" i="3" s="1"/>
  <c r="R52" i="3"/>
  <c r="S52" i="3" s="1"/>
  <c r="R44" i="3"/>
  <c r="S44" i="3" s="1"/>
  <c r="R36" i="3"/>
  <c r="S36" i="3" s="1"/>
  <c r="R28" i="3"/>
  <c r="S28" i="3" s="1"/>
  <c r="R20" i="3"/>
  <c r="S20" i="3" s="1"/>
  <c r="R12" i="3"/>
  <c r="S12" i="3" s="1"/>
  <c r="R75" i="3"/>
  <c r="S75" i="3" s="1"/>
  <c r="R67" i="3"/>
  <c r="S67" i="3" s="1"/>
  <c r="R59" i="3"/>
  <c r="S59" i="3" s="1"/>
  <c r="R51" i="3"/>
  <c r="S51" i="3" s="1"/>
  <c r="R43" i="3"/>
  <c r="S43" i="3" s="1"/>
  <c r="R35" i="3"/>
  <c r="S35" i="3" s="1"/>
  <c r="R27" i="3"/>
  <c r="S27" i="3" s="1"/>
  <c r="R19" i="3"/>
  <c r="S19" i="3" s="1"/>
  <c r="R11" i="3"/>
  <c r="S11" i="3" s="1"/>
  <c r="R74" i="3"/>
  <c r="S74" i="3" s="1"/>
  <c r="R66" i="3"/>
  <c r="S66" i="3" s="1"/>
  <c r="R58" i="3"/>
  <c r="S58" i="3" s="1"/>
  <c r="R50" i="3"/>
  <c r="S50" i="3" s="1"/>
  <c r="R42" i="3"/>
  <c r="S42" i="3" s="1"/>
  <c r="R34" i="3"/>
  <c r="S34" i="3" s="1"/>
  <c r="R26" i="3"/>
  <c r="S26" i="3" s="1"/>
  <c r="R18" i="3"/>
  <c r="S18" i="3" s="1"/>
  <c r="R10" i="3"/>
  <c r="S10" i="3" s="1"/>
  <c r="R73" i="3"/>
  <c r="S73" i="3" s="1"/>
  <c r="R65" i="3"/>
  <c r="S65" i="3" s="1"/>
  <c r="R57" i="3"/>
  <c r="S57" i="3" s="1"/>
  <c r="R49" i="3"/>
  <c r="S49" i="3" s="1"/>
  <c r="R41" i="3"/>
  <c r="S41" i="3" s="1"/>
  <c r="R33" i="3"/>
  <c r="S33" i="3" s="1"/>
  <c r="R25" i="3"/>
  <c r="S25" i="3" s="1"/>
  <c r="R17" i="3"/>
  <c r="S17" i="3" s="1"/>
  <c r="R9" i="3"/>
  <c r="S9" i="3" s="1"/>
  <c r="O62" i="3"/>
  <c r="P62" i="3" s="1"/>
  <c r="R72" i="3"/>
  <c r="S72" i="3" s="1"/>
  <c r="R64" i="3"/>
  <c r="S64" i="3" s="1"/>
  <c r="R56" i="3"/>
  <c r="S56" i="3" s="1"/>
  <c r="R48" i="3"/>
  <c r="S48" i="3" s="1"/>
  <c r="R40" i="3"/>
  <c r="S40" i="3" s="1"/>
  <c r="R32" i="3"/>
  <c r="S32" i="3" s="1"/>
  <c r="R24" i="3"/>
  <c r="S24" i="3" s="1"/>
  <c r="R16" i="3"/>
  <c r="S16" i="3" s="1"/>
  <c r="R8" i="3"/>
  <c r="S8" i="3" s="1"/>
  <c r="R79" i="3"/>
  <c r="S79" i="3" s="1"/>
  <c r="R71" i="3"/>
  <c r="S71" i="3" s="1"/>
  <c r="R63" i="3"/>
  <c r="S63" i="3" s="1"/>
  <c r="R55" i="3"/>
  <c r="S55" i="3" s="1"/>
  <c r="R47" i="3"/>
  <c r="S47" i="3" s="1"/>
  <c r="R39" i="3"/>
  <c r="S39" i="3" s="1"/>
  <c r="R31" i="3"/>
  <c r="S31" i="3" s="1"/>
  <c r="R23" i="3"/>
  <c r="S23" i="3" s="1"/>
  <c r="R15" i="3"/>
  <c r="S15" i="3" s="1"/>
  <c r="R7" i="3"/>
  <c r="S7" i="3" s="1"/>
  <c r="O54" i="3"/>
  <c r="P54" i="3" s="1"/>
  <c r="O46" i="3"/>
  <c r="P46" i="3" s="1"/>
  <c r="O38" i="3"/>
  <c r="P38" i="3" s="1"/>
  <c r="O30" i="3"/>
  <c r="P30" i="3" s="1"/>
  <c r="O22" i="3"/>
  <c r="P22" i="3" s="1"/>
  <c r="O78" i="3"/>
  <c r="P78" i="3" s="1"/>
  <c r="O14" i="3"/>
  <c r="P14" i="3" s="1"/>
  <c r="O70" i="3"/>
  <c r="P70" i="3" s="1"/>
  <c r="O13" i="3"/>
  <c r="P13" i="3" s="1"/>
  <c r="O37" i="3"/>
  <c r="P37" i="3" s="1"/>
  <c r="O76" i="3"/>
  <c r="P76" i="3" s="1"/>
  <c r="O68" i="3"/>
  <c r="P68" i="3" s="1"/>
  <c r="O60" i="3"/>
  <c r="P60" i="3" s="1"/>
  <c r="O52" i="3"/>
  <c r="P52" i="3" s="1"/>
  <c r="O44" i="3"/>
  <c r="P44" i="3" s="1"/>
  <c r="O36" i="3"/>
  <c r="P36" i="3" s="1"/>
  <c r="O28" i="3"/>
  <c r="P28" i="3" s="1"/>
  <c r="O20" i="3"/>
  <c r="P20" i="3" s="1"/>
  <c r="O12" i="3"/>
  <c r="P12" i="3" s="1"/>
  <c r="O75" i="3"/>
  <c r="P75" i="3" s="1"/>
  <c r="O67" i="3"/>
  <c r="P67" i="3" s="1"/>
  <c r="O59" i="3"/>
  <c r="P59" i="3" s="1"/>
  <c r="O51" i="3"/>
  <c r="P51" i="3" s="1"/>
  <c r="O43" i="3"/>
  <c r="P43" i="3" s="1"/>
  <c r="O35" i="3"/>
  <c r="P35" i="3" s="1"/>
  <c r="O27" i="3"/>
  <c r="P27" i="3" s="1"/>
  <c r="O19" i="3"/>
  <c r="P19" i="3" s="1"/>
  <c r="O11" i="3"/>
  <c r="P11" i="3" s="1"/>
  <c r="O77" i="3"/>
  <c r="P77" i="3" s="1"/>
  <c r="O53" i="3"/>
  <c r="P53" i="3" s="1"/>
  <c r="O74" i="3"/>
  <c r="P74" i="3" s="1"/>
  <c r="O66" i="3"/>
  <c r="P66" i="3" s="1"/>
  <c r="O58" i="3"/>
  <c r="P58" i="3" s="1"/>
  <c r="O50" i="3"/>
  <c r="P50" i="3" s="1"/>
  <c r="O42" i="3"/>
  <c r="P42" i="3" s="1"/>
  <c r="O34" i="3"/>
  <c r="P34" i="3" s="1"/>
  <c r="O26" i="3"/>
  <c r="P26" i="3" s="1"/>
  <c r="O18" i="3"/>
  <c r="P18" i="3" s="1"/>
  <c r="O10" i="3"/>
  <c r="P10" i="3" s="1"/>
  <c r="O45" i="3"/>
  <c r="P45" i="3" s="1"/>
  <c r="O73" i="3"/>
  <c r="P73" i="3" s="1"/>
  <c r="O65" i="3"/>
  <c r="P65" i="3" s="1"/>
  <c r="O57" i="3"/>
  <c r="P57" i="3" s="1"/>
  <c r="O49" i="3"/>
  <c r="P49" i="3" s="1"/>
  <c r="O41" i="3"/>
  <c r="P41" i="3" s="1"/>
  <c r="O33" i="3"/>
  <c r="P33" i="3" s="1"/>
  <c r="O25" i="3"/>
  <c r="P25" i="3" s="1"/>
  <c r="O17" i="3"/>
  <c r="P17" i="3" s="1"/>
  <c r="O9" i="3"/>
  <c r="P9" i="3" s="1"/>
  <c r="O61" i="3"/>
  <c r="P61" i="3" s="1"/>
  <c r="O21" i="3"/>
  <c r="P21" i="3" s="1"/>
  <c r="O72" i="3"/>
  <c r="P72" i="3" s="1"/>
  <c r="O64" i="3"/>
  <c r="P64" i="3" s="1"/>
  <c r="O56" i="3"/>
  <c r="P56" i="3" s="1"/>
  <c r="O48" i="3"/>
  <c r="P48" i="3" s="1"/>
  <c r="O40" i="3"/>
  <c r="P40" i="3" s="1"/>
  <c r="O32" i="3"/>
  <c r="P32" i="3" s="1"/>
  <c r="O24" i="3"/>
  <c r="P24" i="3" s="1"/>
  <c r="O16" i="3"/>
  <c r="P16" i="3" s="1"/>
  <c r="O8" i="3"/>
  <c r="P8" i="3" s="1"/>
  <c r="O69" i="3"/>
  <c r="P69" i="3" s="1"/>
  <c r="O29" i="3"/>
  <c r="P29" i="3" s="1"/>
  <c r="O79" i="3"/>
  <c r="P79" i="3" s="1"/>
  <c r="O71" i="3"/>
  <c r="P71" i="3" s="1"/>
  <c r="O63" i="3"/>
  <c r="P63" i="3" s="1"/>
  <c r="O55" i="3"/>
  <c r="P55" i="3" s="1"/>
  <c r="O47" i="3"/>
  <c r="P47" i="3" s="1"/>
  <c r="O39" i="3"/>
  <c r="P39" i="3" s="1"/>
  <c r="O31" i="3"/>
  <c r="P31" i="3" s="1"/>
  <c r="O23" i="3"/>
  <c r="P23" i="3" s="1"/>
  <c r="O15" i="3"/>
  <c r="P15" i="3" s="1"/>
  <c r="O7" i="3"/>
  <c r="P7" i="3" s="1"/>
  <c r="L68" i="3"/>
  <c r="M68" i="3" s="1"/>
  <c r="L62" i="3"/>
  <c r="M62" i="3" s="1"/>
  <c r="L36" i="3"/>
  <c r="M36" i="3" s="1"/>
  <c r="L30" i="3"/>
  <c r="M30" i="3" s="1"/>
  <c r="L60" i="3"/>
  <c r="M60" i="3" s="1"/>
  <c r="L28" i="3"/>
  <c r="M28" i="3" s="1"/>
  <c r="L54" i="3"/>
  <c r="M54" i="3" s="1"/>
  <c r="L22" i="3"/>
  <c r="M22" i="3" s="1"/>
  <c r="L52" i="3"/>
  <c r="M52" i="3" s="1"/>
  <c r="L20" i="3"/>
  <c r="M20" i="3" s="1"/>
  <c r="L78" i="3"/>
  <c r="M78" i="3" s="1"/>
  <c r="L46" i="3"/>
  <c r="M46" i="3" s="1"/>
  <c r="L14" i="3"/>
  <c r="M14" i="3" s="1"/>
  <c r="L76" i="3"/>
  <c r="M76" i="3" s="1"/>
  <c r="L44" i="3"/>
  <c r="M44" i="3" s="1"/>
  <c r="L12" i="3"/>
  <c r="M12" i="3" s="1"/>
  <c r="L70" i="3"/>
  <c r="M70" i="3" s="1"/>
  <c r="L38" i="3"/>
  <c r="M38" i="3" s="1"/>
  <c r="L77" i="3"/>
  <c r="M77" i="3" s="1"/>
  <c r="L69" i="3"/>
  <c r="M69" i="3" s="1"/>
  <c r="L61" i="3"/>
  <c r="M61" i="3" s="1"/>
  <c r="L53" i="3"/>
  <c r="M53" i="3" s="1"/>
  <c r="L45" i="3"/>
  <c r="M45" i="3" s="1"/>
  <c r="L37" i="3"/>
  <c r="M37" i="3" s="1"/>
  <c r="L29" i="3"/>
  <c r="M29" i="3" s="1"/>
  <c r="L21" i="3"/>
  <c r="M21" i="3" s="1"/>
  <c r="L13" i="3"/>
  <c r="M13" i="3" s="1"/>
  <c r="L75" i="3"/>
  <c r="M75" i="3" s="1"/>
  <c r="L67" i="3"/>
  <c r="M67" i="3" s="1"/>
  <c r="L59" i="3"/>
  <c r="M59" i="3" s="1"/>
  <c r="L51" i="3"/>
  <c r="M51" i="3" s="1"/>
  <c r="L43" i="3"/>
  <c r="M43" i="3" s="1"/>
  <c r="L35" i="3"/>
  <c r="M35" i="3" s="1"/>
  <c r="L27" i="3"/>
  <c r="M27" i="3" s="1"/>
  <c r="L19" i="3"/>
  <c r="M19" i="3" s="1"/>
  <c r="L11" i="3"/>
  <c r="M11" i="3" s="1"/>
  <c r="L74" i="3"/>
  <c r="M74" i="3" s="1"/>
  <c r="L66" i="3"/>
  <c r="M66" i="3" s="1"/>
  <c r="L58" i="3"/>
  <c r="M58" i="3" s="1"/>
  <c r="L50" i="3"/>
  <c r="M50" i="3" s="1"/>
  <c r="L42" i="3"/>
  <c r="M42" i="3" s="1"/>
  <c r="L34" i="3"/>
  <c r="M34" i="3" s="1"/>
  <c r="L26" i="3"/>
  <c r="M26" i="3" s="1"/>
  <c r="L18" i="3"/>
  <c r="M18" i="3" s="1"/>
  <c r="L10" i="3"/>
  <c r="M10" i="3" s="1"/>
  <c r="L73" i="3"/>
  <c r="M73" i="3" s="1"/>
  <c r="L65" i="3"/>
  <c r="M65" i="3" s="1"/>
  <c r="L57" i="3"/>
  <c r="M57" i="3" s="1"/>
  <c r="L49" i="3"/>
  <c r="M49" i="3" s="1"/>
  <c r="L41" i="3"/>
  <c r="M41" i="3" s="1"/>
  <c r="L33" i="3"/>
  <c r="M33" i="3" s="1"/>
  <c r="L25" i="3"/>
  <c r="M25" i="3" s="1"/>
  <c r="L17" i="3"/>
  <c r="M17" i="3" s="1"/>
  <c r="L9" i="3"/>
  <c r="M9" i="3" s="1"/>
  <c r="L72" i="3"/>
  <c r="M72" i="3" s="1"/>
  <c r="L64" i="3"/>
  <c r="M64" i="3" s="1"/>
  <c r="L56" i="3"/>
  <c r="M56" i="3" s="1"/>
  <c r="L48" i="3"/>
  <c r="M48" i="3" s="1"/>
  <c r="L40" i="3"/>
  <c r="M40" i="3" s="1"/>
  <c r="L32" i="3"/>
  <c r="M32" i="3" s="1"/>
  <c r="L24" i="3"/>
  <c r="M24" i="3" s="1"/>
  <c r="L16" i="3"/>
  <c r="M16" i="3" s="1"/>
  <c r="L8" i="3"/>
  <c r="M8" i="3" s="1"/>
  <c r="L79" i="3"/>
  <c r="M79" i="3" s="1"/>
  <c r="L71" i="3"/>
  <c r="M71" i="3" s="1"/>
  <c r="L63" i="3"/>
  <c r="M63" i="3" s="1"/>
  <c r="L55" i="3"/>
  <c r="M55" i="3" s="1"/>
  <c r="L47" i="3"/>
  <c r="M47" i="3" s="1"/>
  <c r="L39" i="3"/>
  <c r="M39" i="3" s="1"/>
  <c r="L31" i="3"/>
  <c r="M31" i="3" s="1"/>
  <c r="L23" i="3"/>
  <c r="M23" i="3" s="1"/>
  <c r="L15" i="3"/>
  <c r="M15" i="3" s="1"/>
  <c r="L7" i="3"/>
  <c r="M7" i="3" s="1"/>
  <c r="C4" i="4"/>
  <c r="C5" i="4"/>
  <c r="B4" i="4" l="1"/>
  <c r="D5" i="4"/>
  <c r="B5" i="4"/>
  <c r="D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<sst xmlns="http://schemas.openxmlformats.org/spreadsheetml/2006/main" count="63" uniqueCount="45">
  <si>
    <t>Numero</t>
  </si>
  <si>
    <t>ValorServicos</t>
  </si>
  <si>
    <t>ValorPis</t>
  </si>
  <si>
    <t>ValorCofins</t>
  </si>
  <si>
    <t>ValorIr</t>
  </si>
  <si>
    <t>ValorCsll</t>
  </si>
  <si>
    <t>DataEmissao</t>
  </si>
  <si>
    <t>Autorizado</t>
  </si>
  <si>
    <t>mes</t>
  </si>
  <si>
    <t>Nfs</t>
  </si>
  <si>
    <t>Desagio</t>
  </si>
  <si>
    <t>Juros</t>
  </si>
  <si>
    <t>Aplic. Fin</t>
  </si>
  <si>
    <t>Aluguel</t>
  </si>
  <si>
    <t>Total</t>
  </si>
  <si>
    <t>Cofins Ret</t>
  </si>
  <si>
    <t>Pis Ret</t>
  </si>
  <si>
    <t>IR ret</t>
  </si>
  <si>
    <t>CSLL Ret</t>
  </si>
  <si>
    <t>PIS</t>
  </si>
  <si>
    <t>PIS Pagar</t>
  </si>
  <si>
    <t>Cofins</t>
  </si>
  <si>
    <t>Cofins Pagar</t>
  </si>
  <si>
    <t>IR</t>
  </si>
  <si>
    <t>IR Pagar</t>
  </si>
  <si>
    <t>CSLL</t>
  </si>
  <si>
    <t>CSLL pagar</t>
  </si>
  <si>
    <t>COFINS</t>
  </si>
  <si>
    <t>EMPRESA</t>
  </si>
  <si>
    <t>CNPJ</t>
  </si>
  <si>
    <t>Mes</t>
  </si>
  <si>
    <t>Retido</t>
  </si>
  <si>
    <t>Pagar</t>
  </si>
  <si>
    <t>Verificar Numeracao</t>
  </si>
  <si>
    <t>ln</t>
  </si>
  <si>
    <t>Maior NF</t>
  </si>
  <si>
    <t>Faturamento</t>
  </si>
  <si>
    <t>Cod Receita</t>
  </si>
  <si>
    <t>Imposto</t>
  </si>
  <si>
    <t>Aliq.</t>
  </si>
  <si>
    <t>Ano</t>
  </si>
  <si>
    <t>1o tri</t>
  </si>
  <si>
    <t>2o tri</t>
  </si>
  <si>
    <t>4o tri</t>
  </si>
  <si>
    <t>3o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</si>
</sst>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[$-416]mmm\-yy;@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14" fontId="0" fillId="0" borderId="0" xfId="0" applyNumberFormat="1"/>
    <xf numFmtId="4" fontId="0" fillId="0" borderId="0" xfId="0" applyNumberFormat="1"/>
    <xf numFmtId="0" fontId="1" fillId="2" borderId="0" xfId="0" applyFont="1" applyFill="1"/>
    <xf numFmtId="4" fontId="1" fillId="2" borderId="0" xfId="0" applyNumberFormat="1" applyFont="1" applyFill="1"/>
    <xf numFmtId="4" fontId="1" fillId="4" borderId="0" xfId="0" applyNumberFormat="1" applyFont="1" applyFill="1"/>
    <xf numFmtId="4" fontId="2" fillId="5" borderId="0" xfId="0" applyNumberFormat="1" applyFont="1" applyFill="1"/>
    <xf numFmtId="4" fontId="2" fillId="6" borderId="0" xfId="0" applyNumberFormat="1" applyFont="1" applyFill="1"/>
    <xf numFmtId="165" fontId="1" fillId="2" borderId="0" xfId="0" applyNumberFormat="1" applyFont="1" applyFill="1"/>
    <xf numFmtId="165" fontId="0" fillId="0" borderId="0" xfId="0" applyNumberFormat="1"/>
    <xf numFmtId="4" fontId="1" fillId="8" borderId="0" xfId="0" applyNumberFormat="1" applyFont="1" applyFill="1"/>
    <xf numFmtId="4" fontId="2" fillId="8" borderId="0" xfId="0" applyNumberFormat="1" applyFont="1" applyFill="1"/>
    <xf numFmtId="4" fontId="1" fillId="5" borderId="0" xfId="0" applyNumberFormat="1" applyFont="1" applyFill="1"/>
    <xf numFmtId="4" fontId="1" fillId="9" borderId="0" xfId="0" applyNumberFormat="1" applyFont="1" applyFill="1"/>
    <xf numFmtId="4" fontId="2" fillId="9" borderId="0" xfId="0" applyNumberFormat="1" applyFont="1" applyFill="1"/>
    <xf numFmtId="4" fontId="2" fillId="4" borderId="0" xfId="0" applyNumberFormat="1" applyFont="1" applyFill="1"/>
    <xf numFmtId="0" fontId="1" fillId="5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0" fillId="0" borderId="1" xfId="0" applyBorder="1"/>
    <xf numFmtId="0" fontId="1" fillId="8" borderId="2" xfId="0" applyFont="1" applyFill="1" applyBorder="1"/>
    <xf numFmtId="0" fontId="0" fillId="6" borderId="1" xfId="0" applyFill="1" applyBorder="1"/>
    <xf numFmtId="0" fontId="1" fillId="2" borderId="2" xfId="0" applyFont="1" applyFill="1" applyBorder="1"/>
    <xf numFmtId="4" fontId="0" fillId="10" borderId="1" xfId="0" applyNumberFormat="1" applyFill="1" applyBorder="1"/>
    <xf numFmtId="17" fontId="0" fillId="0" borderId="3" xfId="0" applyNumberFormat="1" applyBorder="1"/>
    <xf numFmtId="4" fontId="0" fillId="6" borderId="1" xfId="0" applyNumberFormat="1" applyFill="1" applyBorder="1"/>
    <xf numFmtId="10" fontId="0" fillId="0" borderId="1" xfId="0" applyNumberFormat="1" applyBorder="1"/>
    <xf numFmtId="4" fontId="0" fillId="11" borderId="1" xfId="0" applyNumberFormat="1" applyFill="1" applyBorder="1"/>
    <xf numFmtId="4" fontId="0" fillId="0" borderId="4" xfId="0" applyNumberFormat="1" applyBorder="1"/>
    <xf numFmtId="49" fontId="4" fillId="7" borderId="1" xfId="0" applyNumberFormat="1" applyFont="1" applyFill="1" applyBorder="1"/>
    <xf numFmtId="14" fontId="4" fillId="7" borderId="1" xfId="0" applyNumberFormat="1" applyFont="1" applyFill="1" applyBorder="1"/>
    <xf numFmtId="4" fontId="4" fillId="7" borderId="1" xfId="0" applyNumberFormat="1" applyFont="1" applyFill="1" applyBorder="1"/>
    <xf numFmtId="0" fontId="4" fillId="7" borderId="1" xfId="0" applyFont="1" applyFill="1" applyBorder="1"/>
    <xf numFmtId="0" fontId="0" fillId="6" borderId="4" xfId="0" applyFill="1" applyBorder="1"/>
    <xf numFmtId="0" fontId="0" fillId="10" borderId="1" xfId="0" applyFill="1" applyBorder="1"/>
    <xf numFmtId="4" fontId="5" fillId="2" borderId="4" xfId="0" applyNumberFormat="1" applyFont="1" applyFill="1" applyBorder="1" applyAlignment="1">
      <alignment horizontal="center" vertical="center"/>
    </xf>
    <xf numFmtId="0" fontId="0" fillId="6" borderId="3" xfId="0" applyFill="1" applyBorder="1"/>
    <xf numFmtId="0" fontId="1" fillId="2" borderId="1" xfId="0" applyFont="1" applyFill="1" applyBorder="1"/>
    <xf numFmtId="0" fontId="0" fillId="0" borderId="2" xfId="0" applyBorder="1"/>
    <xf numFmtId="4" fontId="5" fillId="2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9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[$-416]mmm\-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5</xdr:row>
      <xdr:rowOff>82551</xdr:rowOff>
    </xdr:from>
    <xdr:to>
      <xdr:col>1</xdr:col>
      <xdr:colOff>533400</xdr:colOff>
      <xdr:row>7</xdr:row>
      <xdr:rowOff>82551</xdr:rowOff>
    </xdr:to>
    <xdr:sp macro="[0]!UseFileDialogOpen" textlink="">
      <xdr:nvSpPr>
        <xdr:cNvPr id="3" name="Retângulo: Biselado 2">
          <a:extLst>
            <a:ext uri="{FF2B5EF4-FFF2-40B4-BE49-F238E27FC236}">
              <a16:creationId xmlns:a16="http://schemas.microsoft.com/office/drawing/2014/main" id="{2EC2F556-2A71-129E-3106-FB0A14618F49}"/>
            </a:ext>
          </a:extLst>
        </xdr:cNvPr>
        <xdr:cNvSpPr/>
      </xdr:nvSpPr>
      <xdr:spPr>
        <a:xfrm>
          <a:off x="76200" y="1098551"/>
          <a:ext cx="1066800" cy="368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kern="1200"/>
            <a:t>Importar</a:t>
          </a:r>
          <a:r>
            <a:rPr lang="pt-BR" sz="1100" kern="1200" baseline="0"/>
            <a:t> NFs</a:t>
          </a:r>
          <a:endParaRPr lang="pt-BR" sz="1100" kern="12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354CFE-6B52-4386-8965-071F99D7A1BF}" name="Tabela1" displayName="Tabela1" ref="A6:S79" totalsRowShown="0">
  <autoFilter ref="A6:S79" xr:uid="{A4354CFE-6B52-4386-8965-071F99D7A1BF}"/>
  <tableColumns count="19">
    <tableColumn id="1" xr3:uid="{E93A6408-AB21-428C-A0A7-73D240C46B1E}" name="mes" dataDxfId="18"/>
    <tableColumn id="2" xr3:uid="{B5255E6F-0B0B-4B0B-AB2B-F3B5F9E031FE}" name="Nfs" dataDxfId="17">
      <calculatedColumnFormula>SUMIFS(NFs!$C:$C,NFs!$H:$H,"="&amp;TRUE,NFs!$B:$B,"&gt;="&amp;Tabela1[[#This Row],[mes]],NFs!$B:$B,"&lt;"&amp;ResumoMensal!A8)</calculatedColumnFormula>
    </tableColumn>
    <tableColumn id="3" xr3:uid="{6698F6B0-EF98-4946-9A52-9EEAAC7CF046}" name="Desagio" dataDxfId="16"/>
    <tableColumn id="4" xr3:uid="{E6AD788D-4B20-47AA-94EF-BCB67B2A9F0D}" name="Juros" dataDxfId="15"/>
    <tableColumn id="5" xr3:uid="{F8C0E345-0487-4739-9B01-47C2A4C36A0A}" name="Aplic. Fin" dataDxfId="14"/>
    <tableColumn id="6" xr3:uid="{EF75AFDF-4B7F-48B2-ADB9-006A1FC1A137}" name="Aluguel" dataDxfId="13"/>
    <tableColumn id="7" xr3:uid="{BD976D40-01CD-4B68-B24A-5E9C19FDB80B}" name="Total" dataDxfId="12">
      <calculatedColumnFormula>SUM(Tabela1[[#This Row],[Nfs]:[Aluguel]])</calculatedColumnFormula>
    </tableColumn>
    <tableColumn id="8" xr3:uid="{0F70F859-810C-43B8-A260-B91DBBF5631B}" name="Pis Ret" dataDxfId="11">
      <calculatedColumnFormula>SUMIFS(NFs!$D:$D,NFs!$H:$H,"="&amp;TRUE,NFs!$B:$B,"&gt;="&amp;Tabela1[[#This Row],[mes]],NFs!$B:$B,"&lt;"&amp;ResumoMensal!A8)</calculatedColumnFormula>
    </tableColumn>
    <tableColumn id="9" xr3:uid="{80815F74-E469-47DD-88B1-BCEECF10C7A3}" name="PIS" dataDxfId="10">
      <calculatedColumnFormula>Tabela1[[#This Row],[Total]]*$B$2</calculatedColumnFormula>
    </tableColumn>
    <tableColumn id="10" xr3:uid="{391F6DCB-F45A-489C-920C-C43A10A29BF2}" name="PIS Pagar" dataDxfId="9">
      <calculatedColumnFormula>Tabela1[[#This Row],[PIS]]-Tabela1[[#This Row],[Pis Ret]]</calculatedColumnFormula>
    </tableColumn>
    <tableColumn id="11" xr3:uid="{F69EA2D8-4412-4354-B6C2-C4CA659D4128}" name="Cofins Ret" dataDxfId="8">
      <calculatedColumnFormula>SUMIFS(NFs!$E:$E,NFs!$H:$H,"="&amp;TRUE,NFs!$B:$B,"&gt;="&amp;Tabela1[[#This Row],[mes]],NFs!$B:$B,"&lt;"&amp;ResumoMensal!A8)</calculatedColumnFormula>
    </tableColumn>
    <tableColumn id="12" xr3:uid="{33276B90-FF0D-43BC-9209-C506EAF37B8F}" name="Cofins" dataDxfId="7">
      <calculatedColumnFormula>Tabela1[[#This Row],[Total]]*$B$3</calculatedColumnFormula>
    </tableColumn>
    <tableColumn id="13" xr3:uid="{D5874B5D-14D5-42B5-9996-EEF3E9BC60F5}" name="Cofins Pagar" dataDxfId="6">
      <calculatedColumnFormula>Tabela1[[#This Row],[Cofins]]-Tabela1[[#This Row],[Cofins Ret]]</calculatedColumnFormula>
    </tableColumn>
    <tableColumn id="14" xr3:uid="{CC1465F9-413F-4168-8EDC-213C60D8AB2E}" name="IR ret" dataDxfId="5">
      <calculatedColumnFormula>SUMIFS(NFs!$F:$F,NFs!$H:$H,"="&amp;TRUE,NFs!$B:$B,"&gt;="&amp;Tabela1[[#This Row],[mes]],NFs!$B:$B,"&lt;"&amp;ResumoMensal!A8)</calculatedColumnFormula>
    </tableColumn>
    <tableColumn id="15" xr3:uid="{DD1B6C05-FF27-4CCC-B828-EFF70294A6EB}" name="IR" dataDxfId="4">
      <calculatedColumnFormula>Tabela1[[#This Row],[Total]]*$B$4</calculatedColumnFormula>
    </tableColumn>
    <tableColumn id="16" xr3:uid="{EDB6A438-CB69-426E-BC75-C7EE5F88DDAF}" name="IR Pagar" dataDxfId="3">
      <calculatedColumnFormula>Tabela1[[#This Row],[IR]]-Tabela1[[#This Row],[IR ret]]</calculatedColumnFormula>
    </tableColumn>
    <tableColumn id="17" xr3:uid="{5EB50210-EC5B-4AB7-898E-2B3C2153AB3E}" name="CSLL Ret" dataDxfId="2">
      <calculatedColumnFormula>SUMIFS(NFs!$G:$G,NFs!$H:$H,"="&amp;TRUE,NFs!$B:$B,"&gt;="&amp;Tabela1[[#This Row],[mes]],NFs!$B:$B,"&lt;"&amp;ResumoMensal!A8)</calculatedColumnFormula>
    </tableColumn>
    <tableColumn id="18" xr3:uid="{E3D4A363-C81D-4884-ADE0-4F07619120F2}" name="CSLL" dataDxfId="1">
      <calculatedColumnFormula>Tabela1[[#This Row],[Total]]*$B$5</calculatedColumnFormula>
    </tableColumn>
    <tableColumn id="19" xr3:uid="{EAF109BE-9F32-42CB-8C40-F65D52AF6A12}" name="CSLL pagar" dataDxfId="0">
      <calculatedColumnFormula>Tabela1[[#This Row],[CSLL]]-Tabela1[[#This Row],[CSLL Ret]]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A1CA-8D9D-4CB0-A635-3AC2D3AFCD59}">
  <sheetPr codeName="Planilha4"/>
  <dimension ref="A1:L17"/>
  <sheetViews>
    <sheetView tabSelected="1" workbookViewId="0">
      <selection activeCell="M16" sqref="M16"/>
    </sheetView>
  </sheetViews>
  <sheetFormatPr defaultRowHeight="15" x14ac:dyDescent="0.25"/>
  <cols>
    <col min="2" max="2" width="10.7109375" customWidth="1"/>
    <col min="3" max="3" width="11.85546875" bestFit="1" customWidth="1"/>
    <col min="4" max="4" width="11.42578125" customWidth="1"/>
    <col min="5" max="5" width="12" customWidth="1"/>
    <col min="7" max="7" width="9.5703125" customWidth="1"/>
    <col min="9" max="9" width="10.7109375" customWidth="1"/>
    <col min="11" max="12" width="10.5703125" bestFit="1" customWidth="1"/>
  </cols>
  <sheetData>
    <row r="1" spans="1:12" ht="21.95" customHeight="1" x14ac:dyDescent="0.25">
      <c r="A1" s="39" t="s">
        <v>28</v>
      </c>
      <c r="B1" s="39"/>
      <c r="C1" s="40"/>
      <c r="D1" s="40"/>
      <c r="E1" s="40"/>
      <c r="F1" s="40"/>
      <c r="G1" s="40"/>
      <c r="H1" s="35" t="s">
        <v>29</v>
      </c>
      <c r="I1" s="43"/>
      <c r="J1" s="43"/>
      <c r="K1" s="43"/>
    </row>
    <row r="2" spans="1:12" x14ac:dyDescent="0.25">
      <c r="A2" s="22" t="s">
        <v>30</v>
      </c>
      <c r="B2" s="24">
        <v>45658</v>
      </c>
      <c r="C2" s="3" t="s">
        <v>36</v>
      </c>
      <c r="D2" s="28">
        <f>SUMIF(Tabela1[[#All],[mes]],"="&amp;B2,Tabela1[[#All],[Total]])</f>
        <v>0</v>
      </c>
      <c r="H2" s="37" t="s">
        <v>40</v>
      </c>
      <c r="I2" s="38">
        <v>2025</v>
      </c>
    </row>
    <row r="3" spans="1:12" x14ac:dyDescent="0.25">
      <c r="B3" s="21" t="s">
        <v>14</v>
      </c>
      <c r="C3" s="21" t="s">
        <v>31</v>
      </c>
      <c r="D3" s="21" t="s">
        <v>32</v>
      </c>
      <c r="E3" s="21" t="s">
        <v>37</v>
      </c>
      <c r="I3" s="36" t="s">
        <v>14</v>
      </c>
      <c r="J3" s="33" t="s">
        <v>31</v>
      </c>
      <c r="K3" s="33" t="s">
        <v>32</v>
      </c>
      <c r="L3" s="33" t="s">
        <v>37</v>
      </c>
    </row>
    <row r="4" spans="1:12" x14ac:dyDescent="0.25">
      <c r="A4" s="20" t="s">
        <v>19</v>
      </c>
      <c r="B4" s="23">
        <f>VLOOKUP($B$2,Tabela1[#All],9,FALSE)</f>
        <v>0</v>
      </c>
      <c r="C4" s="23">
        <f>VLOOKUP($B$2,Tabela1[#All],8,FALSE)</f>
        <v>0</v>
      </c>
      <c r="D4" s="23">
        <f>VLOOKUP($B$2,Tabela1[#All],10,FALSE)</f>
        <v>0</v>
      </c>
      <c r="E4" s="19"/>
      <c r="G4" s="44" t="s">
        <v>41</v>
      </c>
      <c r="H4" s="17" t="s">
        <v>23</v>
      </c>
      <c r="I4" s="23"/>
      <c r="J4" s="23"/>
      <c r="K4" s="23"/>
      <c r="L4" s="19"/>
    </row>
    <row r="5" spans="1:12" x14ac:dyDescent="0.25">
      <c r="A5" s="16" t="s">
        <v>27</v>
      </c>
      <c r="B5" s="23">
        <f>VLOOKUP($B$2,Tabela1[#All],12,FALSE)</f>
        <v>0</v>
      </c>
      <c r="C5" s="23">
        <f>VLOOKUP($B$2,Tabela1[#All],11,FALSE)</f>
        <v>0</v>
      </c>
      <c r="D5" s="23">
        <f>VLOOKUP($B$2,Tabela1[#All],13,FALSE)</f>
        <v>0</v>
      </c>
      <c r="E5" s="19"/>
      <c r="G5" s="44"/>
      <c r="H5" s="18" t="s">
        <v>25</v>
      </c>
      <c r="I5" s="23"/>
      <c r="J5" s="23"/>
      <c r="K5" s="23"/>
      <c r="L5" s="19"/>
    </row>
    <row r="6" spans="1:12" x14ac:dyDescent="0.25">
      <c r="G6" s="44" t="s">
        <v>42</v>
      </c>
      <c r="H6" s="17" t="s">
        <v>23</v>
      </c>
      <c r="I6" s="34"/>
      <c r="J6" s="34"/>
      <c r="K6" s="34"/>
      <c r="L6" s="19"/>
    </row>
    <row r="7" spans="1:12" x14ac:dyDescent="0.25">
      <c r="G7" s="44"/>
      <c r="H7" s="18" t="s">
        <v>25</v>
      </c>
      <c r="I7" s="34"/>
      <c r="J7" s="34"/>
      <c r="K7" s="34"/>
      <c r="L7" s="19"/>
    </row>
    <row r="8" spans="1:12" x14ac:dyDescent="0.25">
      <c r="G8" s="44" t="s">
        <v>44</v>
      </c>
      <c r="H8" s="17" t="s">
        <v>23</v>
      </c>
      <c r="I8" s="34"/>
      <c r="J8" s="34"/>
      <c r="K8" s="34"/>
      <c r="L8" s="19"/>
    </row>
    <row r="9" spans="1:12" x14ac:dyDescent="0.25">
      <c r="A9" s="42" t="s">
        <v>33</v>
      </c>
      <c r="B9" s="42"/>
      <c r="C9" s="19">
        <f>YEAR(B2)</f>
        <v>2025</v>
      </c>
      <c r="G9" s="44"/>
      <c r="H9" s="18" t="s">
        <v>25</v>
      </c>
      <c r="I9" s="34"/>
      <c r="J9" s="34"/>
      <c r="K9" s="34"/>
      <c r="L9" s="19"/>
    </row>
    <row r="10" spans="1:12" ht="14.45" customHeight="1" x14ac:dyDescent="0.25">
      <c r="A10" s="41" t="str" cm="1">
        <f t="array" ref="A10">nfFaltante(C9)</f>
        <v>Numeração Correta</v>
      </c>
      <c r="B10" s="41"/>
      <c r="C10" s="41"/>
      <c r="G10" s="44" t="s">
        <v>43</v>
      </c>
      <c r="H10" s="17" t="s">
        <v>23</v>
      </c>
      <c r="I10" s="34"/>
      <c r="J10" s="34"/>
      <c r="K10" s="34"/>
      <c r="L10" s="19"/>
    </row>
    <row r="11" spans="1:12" x14ac:dyDescent="0.25">
      <c r="A11" s="41"/>
      <c r="B11" s="41"/>
      <c r="C11" s="41"/>
      <c r="G11" s="44"/>
      <c r="H11" s="18" t="s">
        <v>25</v>
      </c>
      <c r="I11" s="34"/>
      <c r="J11" s="34"/>
      <c r="K11" s="34"/>
      <c r="L11" s="19"/>
    </row>
    <row r="12" spans="1:12" x14ac:dyDescent="0.25">
      <c r="A12" s="41"/>
      <c r="B12" s="41"/>
      <c r="C12" s="41"/>
    </row>
    <row r="13" spans="1:12" x14ac:dyDescent="0.25">
      <c r="A13" s="41"/>
      <c r="B13" s="41"/>
      <c r="C13" s="41"/>
    </row>
    <row r="14" spans="1:12" x14ac:dyDescent="0.25">
      <c r="A14" s="41"/>
      <c r="B14" s="41"/>
      <c r="C14" s="41"/>
    </row>
    <row r="15" spans="1:12" x14ac:dyDescent="0.25">
      <c r="A15" s="41"/>
      <c r="B15" s="41"/>
      <c r="C15" s="41"/>
    </row>
    <row r="16" spans="1:12" x14ac:dyDescent="0.25">
      <c r="A16" s="41"/>
      <c r="B16" s="41"/>
      <c r="C16" s="41"/>
    </row>
    <row r="17" spans="1:3" x14ac:dyDescent="0.25">
      <c r="A17" s="41"/>
      <c r="B17" s="41"/>
      <c r="C17" s="41"/>
    </row>
  </sheetData>
  <mergeCells count="9">
    <mergeCell ref="A1:B1"/>
    <mergeCell ref="C1:G1"/>
    <mergeCell ref="A10:C17"/>
    <mergeCell ref="A9:B9"/>
    <mergeCell ref="I1:K1"/>
    <mergeCell ref="G4:G5"/>
    <mergeCell ref="G6:G7"/>
    <mergeCell ref="G8:G9"/>
    <mergeCell ref="G10:G1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CABC-8BAF-4257-9BD2-CC3233B37832}">
  <sheetPr codeName="Planilha3"/>
  <dimension ref="A1:S79"/>
  <sheetViews>
    <sheetView workbookViewId="0">
      <pane ySplit="6" topLeftCell="A7" activePane="bottomLeft" state="frozen"/>
      <selection pane="bottomLeft" activeCell="Z9" sqref="Z9"/>
    </sheetView>
  </sheetViews>
  <sheetFormatPr defaultRowHeight="15" x14ac:dyDescent="0.25"/>
  <cols>
    <col min="1" max="1" width="10.140625" bestFit="1" customWidth="1"/>
    <col min="2" max="2" width="11.85546875" style="2" customWidth="1"/>
    <col min="3" max="3" width="9.85546875" style="2" customWidth="1"/>
    <col min="4" max="4" width="9.85546875" style="2" bestFit="1" customWidth="1"/>
    <col min="5" max="5" width="10.5703125" style="2" customWidth="1"/>
    <col min="6" max="6" width="9.28515625" style="2" customWidth="1"/>
    <col min="7" max="8" width="9.85546875" style="2" bestFit="1" customWidth="1"/>
    <col min="9" max="9" width="8.7109375" style="2"/>
    <col min="10" max="10" width="10.5703125" style="2" customWidth="1"/>
    <col min="11" max="11" width="12" style="2" customWidth="1"/>
    <col min="12" max="12" width="8.7109375" style="2"/>
    <col min="13" max="13" width="13.5703125" style="2" customWidth="1"/>
    <col min="14" max="15" width="8.7109375" style="2"/>
    <col min="16" max="16" width="9.7109375" style="2" customWidth="1"/>
    <col min="17" max="17" width="10.5703125" style="2" customWidth="1"/>
    <col min="18" max="18" width="8.7109375" style="2"/>
    <col min="19" max="19" width="12.28515625" style="2" customWidth="1"/>
  </cols>
  <sheetData>
    <row r="1" spans="1:19" x14ac:dyDescent="0.25">
      <c r="A1" s="21" t="s">
        <v>38</v>
      </c>
      <c r="B1" s="25" t="s">
        <v>39</v>
      </c>
    </row>
    <row r="2" spans="1:19" x14ac:dyDescent="0.25">
      <c r="A2" s="27" t="s">
        <v>19</v>
      </c>
      <c r="B2" s="26"/>
    </row>
    <row r="3" spans="1:19" x14ac:dyDescent="0.25">
      <c r="A3" s="27" t="s">
        <v>27</v>
      </c>
      <c r="B3" s="26"/>
    </row>
    <row r="4" spans="1:19" x14ac:dyDescent="0.25">
      <c r="A4" s="27" t="s">
        <v>23</v>
      </c>
      <c r="B4" s="26"/>
    </row>
    <row r="5" spans="1:19" x14ac:dyDescent="0.25">
      <c r="A5" s="27" t="s">
        <v>25</v>
      </c>
      <c r="B5" s="26"/>
    </row>
    <row r="6" spans="1:19" x14ac:dyDescent="0.25">
      <c r="A6" s="8" t="s">
        <v>8</v>
      </c>
      <c r="B6" s="4" t="s">
        <v>9</v>
      </c>
      <c r="C6" s="7" t="s">
        <v>10</v>
      </c>
      <c r="D6" s="7" t="s">
        <v>11</v>
      </c>
      <c r="E6" s="7" t="s">
        <v>12</v>
      </c>
      <c r="F6" s="7" t="s">
        <v>13</v>
      </c>
      <c r="G6" s="4" t="s">
        <v>14</v>
      </c>
      <c r="H6" s="10" t="s">
        <v>16</v>
      </c>
      <c r="I6" s="10" t="s">
        <v>19</v>
      </c>
      <c r="J6" s="11" t="s">
        <v>20</v>
      </c>
      <c r="K6" s="12" t="s">
        <v>15</v>
      </c>
      <c r="L6" s="12" t="s">
        <v>21</v>
      </c>
      <c r="M6" s="6" t="s">
        <v>22</v>
      </c>
      <c r="N6" s="13" t="s">
        <v>17</v>
      </c>
      <c r="O6" s="13" t="s">
        <v>23</v>
      </c>
      <c r="P6" s="14" t="s">
        <v>24</v>
      </c>
      <c r="Q6" s="5" t="s">
        <v>18</v>
      </c>
      <c r="R6" s="5" t="s">
        <v>25</v>
      </c>
      <c r="S6" s="15" t="s">
        <v>26</v>
      </c>
    </row>
    <row r="7" spans="1:19" x14ac:dyDescent="0.25">
      <c r="A7" s="9">
        <v>45292</v>
      </c>
      <c r="B7" s="2">
        <f>SUMIFS(NFs!$C:$C,NFs!$H:$H,"="&amp;TRUE,NFs!$B:$B,"&gt;="&amp;Tabela1[[#This Row],[mes]],NFs!$B:$B,"&lt;"&amp;ResumoMensal!A8)</f>
        <v>0</v>
      </c>
      <c r="G7" s="2">
        <f>SUM(Tabela1[[#This Row],[Nfs]:[Aluguel]])</f>
        <v>0</v>
      </c>
      <c r="H7" s="2">
        <f>SUMIFS(NFs!$D:$D,NFs!$H:$H,"="&amp;TRUE,NFs!$B:$B,"&gt;="&amp;Tabela1[[#This Row],[mes]],NFs!$B:$B,"&lt;"&amp;ResumoMensal!A8)</f>
        <v>0</v>
      </c>
      <c r="I7" s="2">
        <f>Tabela1[[#This Row],[Total]]*$B$2</f>
        <v>0</v>
      </c>
      <c r="J7" s="2">
        <f>Tabela1[[#This Row],[PIS]]-Tabela1[[#This Row],[Pis Ret]]</f>
        <v>0</v>
      </c>
      <c r="K7" s="2">
        <f>SUMIFS(NFs!$E:$E,NFs!$H:$H,"="&amp;TRUE,NFs!$B:$B,"&gt;="&amp;Tabela1[[#This Row],[mes]],NFs!$B:$B,"&lt;"&amp;ResumoMensal!A8)</f>
        <v>0</v>
      </c>
      <c r="L7" s="2">
        <f>Tabela1[[#This Row],[Total]]*$B$3</f>
        <v>0</v>
      </c>
      <c r="M7" s="2">
        <f>Tabela1[[#This Row],[Cofins]]-Tabela1[[#This Row],[Cofins Ret]]</f>
        <v>0</v>
      </c>
      <c r="N7" s="2">
        <f>SUMIFS(NFs!$F:$F,NFs!$H:$H,"="&amp;TRUE,NFs!$B:$B,"&gt;="&amp;Tabela1[[#This Row],[mes]],NFs!$B:$B,"&lt;"&amp;ResumoMensal!A8)</f>
        <v>0</v>
      </c>
      <c r="O7" s="2">
        <f>Tabela1[[#This Row],[Total]]*$B$4</f>
        <v>0</v>
      </c>
      <c r="P7" s="2">
        <f>Tabela1[[#This Row],[IR]]-Tabela1[[#This Row],[IR ret]]</f>
        <v>0</v>
      </c>
      <c r="Q7" s="2">
        <f>SUMIFS(NFs!$G:$G,NFs!$H:$H,"="&amp;TRUE,NFs!$B:$B,"&gt;="&amp;Tabela1[[#This Row],[mes]],NFs!$B:$B,"&lt;"&amp;ResumoMensal!A8)</f>
        <v>0</v>
      </c>
      <c r="R7" s="2">
        <f>Tabela1[[#This Row],[Total]]*$B$5</f>
        <v>0</v>
      </c>
      <c r="S7" s="2">
        <f>Tabela1[[#This Row],[CSLL]]-Tabela1[[#This Row],[CSLL Ret]]</f>
        <v>0</v>
      </c>
    </row>
    <row r="8" spans="1:19" x14ac:dyDescent="0.25">
      <c r="A8" s="9">
        <v>45323</v>
      </c>
      <c r="B8" s="2">
        <f>SUMIFS(NFs!$C:$C,NFs!$H:$H,"="&amp;TRUE,NFs!$B:$B,"&gt;="&amp;Tabela1[[#This Row],[mes]],NFs!$B:$B,"&lt;"&amp;ResumoMensal!A9)</f>
        <v>0</v>
      </c>
      <c r="G8" s="2">
        <f>SUM(Tabela1[[#This Row],[Nfs]:[Aluguel]])</f>
        <v>0</v>
      </c>
      <c r="H8" s="2">
        <f>SUMIFS(NFs!$D:$D,NFs!$H:$H,"="&amp;TRUE,NFs!$B:$B,"&gt;="&amp;Tabela1[[#This Row],[mes]],NFs!$B:$B,"&lt;"&amp;ResumoMensal!A9)</f>
        <v>0</v>
      </c>
      <c r="I8" s="2">
        <f>Tabela1[[#This Row],[Total]]*$B$2</f>
        <v>0</v>
      </c>
      <c r="J8" s="2">
        <f>Tabela1[[#This Row],[PIS]]-Tabela1[[#This Row],[Pis Ret]]</f>
        <v>0</v>
      </c>
      <c r="K8" s="2">
        <f>SUMIFS(NFs!$E:$E,NFs!$H:$H,"="&amp;TRUE,NFs!$B:$B,"&gt;="&amp;Tabela1[[#This Row],[mes]],NFs!$B:$B,"&lt;"&amp;ResumoMensal!A9)</f>
        <v>0</v>
      </c>
      <c r="L8" s="2">
        <f>Tabela1[[#This Row],[Total]]*$B$3</f>
        <v>0</v>
      </c>
      <c r="M8" s="2">
        <f>Tabela1[[#This Row],[Cofins]]-Tabela1[[#This Row],[Cofins Ret]]</f>
        <v>0</v>
      </c>
      <c r="N8" s="2">
        <f>SUMIFS(NFs!$F:$F,NFs!$H:$H,"="&amp;TRUE,NFs!$B:$B,"&gt;="&amp;Tabela1[[#This Row],[mes]],NFs!$B:$B,"&lt;"&amp;ResumoMensal!A9)</f>
        <v>0</v>
      </c>
      <c r="O8" s="2">
        <f>Tabela1[[#This Row],[Total]]*$B$4</f>
        <v>0</v>
      </c>
      <c r="P8" s="2">
        <f>Tabela1[[#This Row],[IR]]-Tabela1[[#This Row],[IR ret]]</f>
        <v>0</v>
      </c>
      <c r="Q8" s="2">
        <f>SUMIFS(NFs!$G:$G,NFs!$H:$H,"="&amp;TRUE,NFs!$B:$B,"&gt;="&amp;Tabela1[[#This Row],[mes]],NFs!$B:$B,"&lt;"&amp;ResumoMensal!A9)</f>
        <v>0</v>
      </c>
      <c r="R8" s="2">
        <f>Tabela1[[#This Row],[Total]]*$B$5</f>
        <v>0</v>
      </c>
      <c r="S8" s="2">
        <f>Tabela1[[#This Row],[CSLL]]-Tabela1[[#This Row],[CSLL Ret]]</f>
        <v>0</v>
      </c>
    </row>
    <row r="9" spans="1:19" x14ac:dyDescent="0.25">
      <c r="A9" s="9">
        <v>45352</v>
      </c>
      <c r="B9" s="2">
        <f>SUMIFS(NFs!$C:$C,NFs!$H:$H,"="&amp;TRUE,NFs!$B:$B,"&gt;="&amp;Tabela1[[#This Row],[mes]],NFs!$B:$B,"&lt;"&amp;ResumoMensal!A10)</f>
        <v>0</v>
      </c>
      <c r="G9" s="2">
        <f>SUM(Tabela1[[#This Row],[Nfs]:[Aluguel]])</f>
        <v>0</v>
      </c>
      <c r="H9" s="2">
        <f>SUMIFS(NFs!$D:$D,NFs!$H:$H,"="&amp;TRUE,NFs!$B:$B,"&gt;="&amp;Tabela1[[#This Row],[mes]],NFs!$B:$B,"&lt;"&amp;ResumoMensal!A10)</f>
        <v>0</v>
      </c>
      <c r="I9" s="2">
        <f>Tabela1[[#This Row],[Total]]*$B$2</f>
        <v>0</v>
      </c>
      <c r="J9" s="2">
        <f>Tabela1[[#This Row],[PIS]]-Tabela1[[#This Row],[Pis Ret]]</f>
        <v>0</v>
      </c>
      <c r="K9" s="2">
        <f>SUMIFS(NFs!$E:$E,NFs!$H:$H,"="&amp;TRUE,NFs!$B:$B,"&gt;="&amp;Tabela1[[#This Row],[mes]],NFs!$B:$B,"&lt;"&amp;ResumoMensal!A10)</f>
        <v>0</v>
      </c>
      <c r="L9" s="2">
        <f>Tabela1[[#This Row],[Total]]*$B$3</f>
        <v>0</v>
      </c>
      <c r="M9" s="2">
        <f>Tabela1[[#This Row],[Cofins]]-Tabela1[[#This Row],[Cofins Ret]]</f>
        <v>0</v>
      </c>
      <c r="N9" s="2">
        <f>SUMIFS(NFs!$F:$F,NFs!$H:$H,"="&amp;TRUE,NFs!$B:$B,"&gt;="&amp;Tabela1[[#This Row],[mes]],NFs!$B:$B,"&lt;"&amp;ResumoMensal!A10)</f>
        <v>0</v>
      </c>
      <c r="O9" s="2">
        <f>Tabela1[[#This Row],[Total]]*$B$4</f>
        <v>0</v>
      </c>
      <c r="P9" s="2">
        <f>Tabela1[[#This Row],[IR]]-Tabela1[[#This Row],[IR ret]]</f>
        <v>0</v>
      </c>
      <c r="Q9" s="2">
        <f>SUMIFS(NFs!$G:$G,NFs!$H:$H,"="&amp;TRUE,NFs!$B:$B,"&gt;="&amp;Tabela1[[#This Row],[mes]],NFs!$B:$B,"&lt;"&amp;ResumoMensal!A10)</f>
        <v>0</v>
      </c>
      <c r="R9" s="2">
        <f>Tabela1[[#This Row],[Total]]*$B$5</f>
        <v>0</v>
      </c>
      <c r="S9" s="2">
        <f>Tabela1[[#This Row],[CSLL]]-Tabela1[[#This Row],[CSLL Ret]]</f>
        <v>0</v>
      </c>
    </row>
    <row r="10" spans="1:19" x14ac:dyDescent="0.25">
      <c r="A10" s="9">
        <v>45383</v>
      </c>
      <c r="B10" s="2">
        <f>SUMIFS(NFs!$C:$C,NFs!$H:$H,"="&amp;TRUE,NFs!$B:$B,"&gt;="&amp;Tabela1[[#This Row],[mes]],NFs!$B:$B,"&lt;"&amp;ResumoMensal!A11)</f>
        <v>0</v>
      </c>
      <c r="G10" s="2">
        <f>SUM(Tabela1[[#This Row],[Nfs]:[Aluguel]])</f>
        <v>0</v>
      </c>
      <c r="H10" s="2">
        <f>SUMIFS(NFs!$D:$D,NFs!$H:$H,"="&amp;TRUE,NFs!$B:$B,"&gt;="&amp;Tabela1[[#This Row],[mes]],NFs!$B:$B,"&lt;"&amp;ResumoMensal!A11)</f>
        <v>0</v>
      </c>
      <c r="I10" s="2">
        <f>Tabela1[[#This Row],[Total]]*$B$2</f>
        <v>0</v>
      </c>
      <c r="J10" s="2">
        <f>Tabela1[[#This Row],[PIS]]-Tabela1[[#This Row],[Pis Ret]]</f>
        <v>0</v>
      </c>
      <c r="K10" s="2">
        <f>SUMIFS(NFs!$E:$E,NFs!$H:$H,"="&amp;TRUE,NFs!$B:$B,"&gt;="&amp;Tabela1[[#This Row],[mes]],NFs!$B:$B,"&lt;"&amp;ResumoMensal!A11)</f>
        <v>0</v>
      </c>
      <c r="L10" s="2">
        <f>Tabela1[[#This Row],[Total]]*$B$3</f>
        <v>0</v>
      </c>
      <c r="M10" s="2">
        <f>Tabela1[[#This Row],[Cofins]]-Tabela1[[#This Row],[Cofins Ret]]</f>
        <v>0</v>
      </c>
      <c r="N10" s="2">
        <f>SUMIFS(NFs!$F:$F,NFs!$H:$H,"="&amp;TRUE,NFs!$B:$B,"&gt;="&amp;Tabela1[[#This Row],[mes]],NFs!$B:$B,"&lt;"&amp;ResumoMensal!A11)</f>
        <v>0</v>
      </c>
      <c r="O10" s="2">
        <f>Tabela1[[#This Row],[Total]]*$B$4</f>
        <v>0</v>
      </c>
      <c r="P10" s="2">
        <f>Tabela1[[#This Row],[IR]]-Tabela1[[#This Row],[IR ret]]</f>
        <v>0</v>
      </c>
      <c r="Q10" s="2">
        <f>SUMIFS(NFs!$G:$G,NFs!$H:$H,"="&amp;TRUE,NFs!$B:$B,"&gt;="&amp;Tabela1[[#This Row],[mes]],NFs!$B:$B,"&lt;"&amp;ResumoMensal!A11)</f>
        <v>0</v>
      </c>
      <c r="R10" s="2">
        <f>Tabela1[[#This Row],[Total]]*$B$5</f>
        <v>0</v>
      </c>
      <c r="S10" s="2">
        <f>Tabela1[[#This Row],[CSLL]]-Tabela1[[#This Row],[CSLL Ret]]</f>
        <v>0</v>
      </c>
    </row>
    <row r="11" spans="1:19" x14ac:dyDescent="0.25">
      <c r="A11" s="9">
        <v>45413</v>
      </c>
      <c r="B11" s="2">
        <f>SUMIFS(NFs!$C:$C,NFs!$H:$H,"="&amp;TRUE,NFs!$B:$B,"&gt;="&amp;Tabela1[[#This Row],[mes]],NFs!$B:$B,"&lt;"&amp;ResumoMensal!A12)</f>
        <v>0</v>
      </c>
      <c r="G11" s="2">
        <f>SUM(Tabela1[[#This Row],[Nfs]:[Aluguel]])</f>
        <v>0</v>
      </c>
      <c r="H11" s="2">
        <f>SUMIFS(NFs!$D:$D,NFs!$H:$H,"="&amp;TRUE,NFs!$B:$B,"&gt;="&amp;Tabela1[[#This Row],[mes]],NFs!$B:$B,"&lt;"&amp;ResumoMensal!A12)</f>
        <v>0</v>
      </c>
      <c r="I11" s="2">
        <f>Tabela1[[#This Row],[Total]]*$B$2</f>
        <v>0</v>
      </c>
      <c r="J11" s="2">
        <f>Tabela1[[#This Row],[PIS]]-Tabela1[[#This Row],[Pis Ret]]</f>
        <v>0</v>
      </c>
      <c r="K11" s="2">
        <f>SUMIFS(NFs!$E:$E,NFs!$H:$H,"="&amp;TRUE,NFs!$B:$B,"&gt;="&amp;Tabela1[[#This Row],[mes]],NFs!$B:$B,"&lt;"&amp;ResumoMensal!A12)</f>
        <v>0</v>
      </c>
      <c r="L11" s="2">
        <f>Tabela1[[#This Row],[Total]]*$B$3</f>
        <v>0</v>
      </c>
      <c r="M11" s="2">
        <f>Tabela1[[#This Row],[Cofins]]-Tabela1[[#This Row],[Cofins Ret]]</f>
        <v>0</v>
      </c>
      <c r="N11" s="2">
        <f>SUMIFS(NFs!$F:$F,NFs!$H:$H,"="&amp;TRUE,NFs!$B:$B,"&gt;="&amp;Tabela1[[#This Row],[mes]],NFs!$B:$B,"&lt;"&amp;ResumoMensal!A12)</f>
        <v>0</v>
      </c>
      <c r="O11" s="2">
        <f>Tabela1[[#This Row],[Total]]*$B$4</f>
        <v>0</v>
      </c>
      <c r="P11" s="2">
        <f>Tabela1[[#This Row],[IR]]-Tabela1[[#This Row],[IR ret]]</f>
        <v>0</v>
      </c>
      <c r="Q11" s="2">
        <f>SUMIFS(NFs!$G:$G,NFs!$H:$H,"="&amp;TRUE,NFs!$B:$B,"&gt;="&amp;Tabela1[[#This Row],[mes]],NFs!$B:$B,"&lt;"&amp;ResumoMensal!A12)</f>
        <v>0</v>
      </c>
      <c r="R11" s="2">
        <f>Tabela1[[#This Row],[Total]]*$B$5</f>
        <v>0</v>
      </c>
      <c r="S11" s="2">
        <f>Tabela1[[#This Row],[CSLL]]-Tabela1[[#This Row],[CSLL Ret]]</f>
        <v>0</v>
      </c>
    </row>
    <row r="12" spans="1:19" x14ac:dyDescent="0.25">
      <c r="A12" s="9">
        <v>45444</v>
      </c>
      <c r="B12" s="2">
        <f>SUMIFS(NFs!$C:$C,NFs!$H:$H,"="&amp;TRUE,NFs!$B:$B,"&gt;="&amp;Tabela1[[#This Row],[mes]],NFs!$B:$B,"&lt;"&amp;ResumoMensal!A13)</f>
        <v>0</v>
      </c>
      <c r="G12" s="2">
        <f>SUM(Tabela1[[#This Row],[Nfs]:[Aluguel]])</f>
        <v>0</v>
      </c>
      <c r="H12" s="2">
        <f>SUMIFS(NFs!$D:$D,NFs!$H:$H,"="&amp;TRUE,NFs!$B:$B,"&gt;="&amp;Tabela1[[#This Row],[mes]],NFs!$B:$B,"&lt;"&amp;ResumoMensal!A13)</f>
        <v>0</v>
      </c>
      <c r="I12" s="2">
        <f>Tabela1[[#This Row],[Total]]*$B$2</f>
        <v>0</v>
      </c>
      <c r="J12" s="2">
        <f>Tabela1[[#This Row],[PIS]]-Tabela1[[#This Row],[Pis Ret]]</f>
        <v>0</v>
      </c>
      <c r="K12" s="2">
        <f>SUMIFS(NFs!$E:$E,NFs!$H:$H,"="&amp;TRUE,NFs!$B:$B,"&gt;="&amp;Tabela1[[#This Row],[mes]],NFs!$B:$B,"&lt;"&amp;ResumoMensal!A13)</f>
        <v>0</v>
      </c>
      <c r="L12" s="2">
        <f>Tabela1[[#This Row],[Total]]*$B$3</f>
        <v>0</v>
      </c>
      <c r="M12" s="2">
        <f>Tabela1[[#This Row],[Cofins]]-Tabela1[[#This Row],[Cofins Ret]]</f>
        <v>0</v>
      </c>
      <c r="N12" s="2">
        <f>SUMIFS(NFs!$F:$F,NFs!$H:$H,"="&amp;TRUE,NFs!$B:$B,"&gt;="&amp;Tabela1[[#This Row],[mes]],NFs!$B:$B,"&lt;"&amp;ResumoMensal!A13)</f>
        <v>0</v>
      </c>
      <c r="O12" s="2">
        <f>Tabela1[[#This Row],[Total]]*$B$4</f>
        <v>0</v>
      </c>
      <c r="P12" s="2">
        <f>Tabela1[[#This Row],[IR]]-Tabela1[[#This Row],[IR ret]]</f>
        <v>0</v>
      </c>
      <c r="Q12" s="2">
        <f>SUMIFS(NFs!$G:$G,NFs!$H:$H,"="&amp;TRUE,NFs!$B:$B,"&gt;="&amp;Tabela1[[#This Row],[mes]],NFs!$B:$B,"&lt;"&amp;ResumoMensal!A13)</f>
        <v>0</v>
      </c>
      <c r="R12" s="2">
        <f>Tabela1[[#This Row],[Total]]*$B$5</f>
        <v>0</v>
      </c>
      <c r="S12" s="2">
        <f>Tabela1[[#This Row],[CSLL]]-Tabela1[[#This Row],[CSLL Ret]]</f>
        <v>0</v>
      </c>
    </row>
    <row r="13" spans="1:19" x14ac:dyDescent="0.25">
      <c r="A13" s="9">
        <v>45474</v>
      </c>
      <c r="B13" s="2">
        <f>SUMIFS(NFs!$C:$C,NFs!$H:$H,"="&amp;TRUE,NFs!$B:$B,"&gt;="&amp;Tabela1[[#This Row],[mes]],NFs!$B:$B,"&lt;"&amp;ResumoMensal!A14)</f>
        <v>0</v>
      </c>
      <c r="G13" s="2">
        <f>SUM(Tabela1[[#This Row],[Nfs]:[Aluguel]])</f>
        <v>0</v>
      </c>
      <c r="H13" s="2">
        <f>SUMIFS(NFs!$D:$D,NFs!$H:$H,"="&amp;TRUE,NFs!$B:$B,"&gt;="&amp;Tabela1[[#This Row],[mes]],NFs!$B:$B,"&lt;"&amp;ResumoMensal!A14)</f>
        <v>0</v>
      </c>
      <c r="I13" s="2">
        <f>Tabela1[[#This Row],[Total]]*$B$2</f>
        <v>0</v>
      </c>
      <c r="J13" s="2">
        <f>Tabela1[[#This Row],[PIS]]-Tabela1[[#This Row],[Pis Ret]]</f>
        <v>0</v>
      </c>
      <c r="K13" s="2">
        <f>SUMIFS(NFs!$E:$E,NFs!$H:$H,"="&amp;TRUE,NFs!$B:$B,"&gt;="&amp;Tabela1[[#This Row],[mes]],NFs!$B:$B,"&lt;"&amp;ResumoMensal!A14)</f>
        <v>0</v>
      </c>
      <c r="L13" s="2">
        <f>Tabela1[[#This Row],[Total]]*$B$3</f>
        <v>0</v>
      </c>
      <c r="M13" s="2">
        <f>Tabela1[[#This Row],[Cofins]]-Tabela1[[#This Row],[Cofins Ret]]</f>
        <v>0</v>
      </c>
      <c r="N13" s="2">
        <f>SUMIFS(NFs!$F:$F,NFs!$H:$H,"="&amp;TRUE,NFs!$B:$B,"&gt;="&amp;Tabela1[[#This Row],[mes]],NFs!$B:$B,"&lt;"&amp;ResumoMensal!A14)</f>
        <v>0</v>
      </c>
      <c r="O13" s="2">
        <f>Tabela1[[#This Row],[Total]]*$B$4</f>
        <v>0</v>
      </c>
      <c r="P13" s="2">
        <f>Tabela1[[#This Row],[IR]]-Tabela1[[#This Row],[IR ret]]</f>
        <v>0</v>
      </c>
      <c r="Q13" s="2">
        <f>SUMIFS(NFs!$G:$G,NFs!$H:$H,"="&amp;TRUE,NFs!$B:$B,"&gt;="&amp;Tabela1[[#This Row],[mes]],NFs!$B:$B,"&lt;"&amp;ResumoMensal!A14)</f>
        <v>0</v>
      </c>
      <c r="R13" s="2">
        <f>Tabela1[[#This Row],[Total]]*$B$5</f>
        <v>0</v>
      </c>
      <c r="S13" s="2">
        <f>Tabela1[[#This Row],[CSLL]]-Tabela1[[#This Row],[CSLL Ret]]</f>
        <v>0</v>
      </c>
    </row>
    <row r="14" spans="1:19" x14ac:dyDescent="0.25">
      <c r="A14" s="9">
        <v>45505</v>
      </c>
      <c r="B14" s="2">
        <f>SUMIFS(NFs!$C:$C,NFs!$H:$H,"="&amp;TRUE,NFs!$B:$B,"&gt;="&amp;Tabela1[[#This Row],[mes]],NFs!$B:$B,"&lt;"&amp;ResumoMensal!A15)</f>
        <v>0</v>
      </c>
      <c r="G14" s="2">
        <f>SUM(Tabela1[[#This Row],[Nfs]:[Aluguel]])</f>
        <v>0</v>
      </c>
      <c r="H14" s="2">
        <f>SUMIFS(NFs!$D:$D,NFs!$H:$H,"="&amp;TRUE,NFs!$B:$B,"&gt;="&amp;Tabela1[[#This Row],[mes]],NFs!$B:$B,"&lt;"&amp;ResumoMensal!A15)</f>
        <v>0</v>
      </c>
      <c r="I14" s="2">
        <f>Tabela1[[#This Row],[Total]]*$B$2</f>
        <v>0</v>
      </c>
      <c r="J14" s="2">
        <f>Tabela1[[#This Row],[PIS]]-Tabela1[[#This Row],[Pis Ret]]</f>
        <v>0</v>
      </c>
      <c r="K14" s="2">
        <f>SUMIFS(NFs!$E:$E,NFs!$H:$H,"="&amp;TRUE,NFs!$B:$B,"&gt;="&amp;Tabela1[[#This Row],[mes]],NFs!$B:$B,"&lt;"&amp;ResumoMensal!A15)</f>
        <v>0</v>
      </c>
      <c r="L14" s="2">
        <f>Tabela1[[#This Row],[Total]]*$B$3</f>
        <v>0</v>
      </c>
      <c r="M14" s="2">
        <f>Tabela1[[#This Row],[Cofins]]-Tabela1[[#This Row],[Cofins Ret]]</f>
        <v>0</v>
      </c>
      <c r="N14" s="2">
        <f>SUMIFS(NFs!$F:$F,NFs!$H:$H,"="&amp;TRUE,NFs!$B:$B,"&gt;="&amp;Tabela1[[#This Row],[mes]],NFs!$B:$B,"&lt;"&amp;ResumoMensal!A15)</f>
        <v>0</v>
      </c>
      <c r="O14" s="2">
        <f>Tabela1[[#This Row],[Total]]*$B$4</f>
        <v>0</v>
      </c>
      <c r="P14" s="2">
        <f>Tabela1[[#This Row],[IR]]-Tabela1[[#This Row],[IR ret]]</f>
        <v>0</v>
      </c>
      <c r="Q14" s="2">
        <f>SUMIFS(NFs!$G:$G,NFs!$H:$H,"="&amp;TRUE,NFs!$B:$B,"&gt;="&amp;Tabela1[[#This Row],[mes]],NFs!$B:$B,"&lt;"&amp;ResumoMensal!A15)</f>
        <v>0</v>
      </c>
      <c r="R14" s="2">
        <f>Tabela1[[#This Row],[Total]]*$B$5</f>
        <v>0</v>
      </c>
      <c r="S14" s="2">
        <f>Tabela1[[#This Row],[CSLL]]-Tabela1[[#This Row],[CSLL Ret]]</f>
        <v>0</v>
      </c>
    </row>
    <row r="15" spans="1:19" x14ac:dyDescent="0.25">
      <c r="A15" s="9">
        <v>45536</v>
      </c>
      <c r="B15" s="2">
        <f>SUMIFS(NFs!$C:$C,NFs!$H:$H,"="&amp;TRUE,NFs!$B:$B,"&gt;="&amp;Tabela1[[#This Row],[mes]],NFs!$B:$B,"&lt;"&amp;ResumoMensal!A16)</f>
        <v>0</v>
      </c>
      <c r="G15" s="2">
        <f>SUM(Tabela1[[#This Row],[Nfs]:[Aluguel]])</f>
        <v>0</v>
      </c>
      <c r="H15" s="2">
        <f>SUMIFS(NFs!$D:$D,NFs!$H:$H,"="&amp;TRUE,NFs!$B:$B,"&gt;="&amp;Tabela1[[#This Row],[mes]],NFs!$B:$B,"&lt;"&amp;ResumoMensal!A16)</f>
        <v>0</v>
      </c>
      <c r="I15" s="2">
        <f>Tabela1[[#This Row],[Total]]*$B$2</f>
        <v>0</v>
      </c>
      <c r="J15" s="2">
        <f>Tabela1[[#This Row],[PIS]]-Tabela1[[#This Row],[Pis Ret]]</f>
        <v>0</v>
      </c>
      <c r="K15" s="2">
        <f>SUMIFS(NFs!$E:$E,NFs!$H:$H,"="&amp;TRUE,NFs!$B:$B,"&gt;="&amp;Tabela1[[#This Row],[mes]],NFs!$B:$B,"&lt;"&amp;ResumoMensal!A16)</f>
        <v>0</v>
      </c>
      <c r="L15" s="2">
        <f>Tabela1[[#This Row],[Total]]*$B$3</f>
        <v>0</v>
      </c>
      <c r="M15" s="2">
        <f>Tabela1[[#This Row],[Cofins]]-Tabela1[[#This Row],[Cofins Ret]]</f>
        <v>0</v>
      </c>
      <c r="N15" s="2">
        <f>SUMIFS(NFs!$F:$F,NFs!$H:$H,"="&amp;TRUE,NFs!$B:$B,"&gt;="&amp;Tabela1[[#This Row],[mes]],NFs!$B:$B,"&lt;"&amp;ResumoMensal!A16)</f>
        <v>0</v>
      </c>
      <c r="O15" s="2">
        <f>Tabela1[[#This Row],[Total]]*$B$4</f>
        <v>0</v>
      </c>
      <c r="P15" s="2">
        <f>Tabela1[[#This Row],[IR]]-Tabela1[[#This Row],[IR ret]]</f>
        <v>0</v>
      </c>
      <c r="Q15" s="2">
        <f>SUMIFS(NFs!$G:$G,NFs!$H:$H,"="&amp;TRUE,NFs!$B:$B,"&gt;="&amp;Tabela1[[#This Row],[mes]],NFs!$B:$B,"&lt;"&amp;ResumoMensal!A16)</f>
        <v>0</v>
      </c>
      <c r="R15" s="2">
        <f>Tabela1[[#This Row],[Total]]*$B$5</f>
        <v>0</v>
      </c>
      <c r="S15" s="2">
        <f>Tabela1[[#This Row],[CSLL]]-Tabela1[[#This Row],[CSLL Ret]]</f>
        <v>0</v>
      </c>
    </row>
    <row r="16" spans="1:19" x14ac:dyDescent="0.25">
      <c r="A16" s="9">
        <v>45566</v>
      </c>
      <c r="B16" s="2">
        <f>SUMIFS(NFs!$C:$C,NFs!$H:$H,"="&amp;TRUE,NFs!$B:$B,"&gt;="&amp;Tabela1[[#This Row],[mes]],NFs!$B:$B,"&lt;"&amp;ResumoMensal!A17)</f>
        <v>0</v>
      </c>
      <c r="G16" s="2">
        <f>SUM(Tabela1[[#This Row],[Nfs]:[Aluguel]])</f>
        <v>0</v>
      </c>
      <c r="H16" s="2">
        <f>SUMIFS(NFs!$D:$D,NFs!$H:$H,"="&amp;TRUE,NFs!$B:$B,"&gt;="&amp;Tabela1[[#This Row],[mes]],NFs!$B:$B,"&lt;"&amp;ResumoMensal!A17)</f>
        <v>0</v>
      </c>
      <c r="I16" s="2">
        <f>Tabela1[[#This Row],[Total]]*$B$2</f>
        <v>0</v>
      </c>
      <c r="J16" s="2">
        <f>Tabela1[[#This Row],[PIS]]-Tabela1[[#This Row],[Pis Ret]]</f>
        <v>0</v>
      </c>
      <c r="K16" s="2">
        <f>SUMIFS(NFs!$E:$E,NFs!$H:$H,"="&amp;TRUE,NFs!$B:$B,"&gt;="&amp;Tabela1[[#This Row],[mes]],NFs!$B:$B,"&lt;"&amp;ResumoMensal!A17)</f>
        <v>0</v>
      </c>
      <c r="L16" s="2">
        <f>Tabela1[[#This Row],[Total]]*$B$3</f>
        <v>0</v>
      </c>
      <c r="M16" s="2">
        <f>Tabela1[[#This Row],[Cofins]]-Tabela1[[#This Row],[Cofins Ret]]</f>
        <v>0</v>
      </c>
      <c r="N16" s="2">
        <f>SUMIFS(NFs!$F:$F,NFs!$H:$H,"="&amp;TRUE,NFs!$B:$B,"&gt;="&amp;Tabela1[[#This Row],[mes]],NFs!$B:$B,"&lt;"&amp;ResumoMensal!A17)</f>
        <v>0</v>
      </c>
      <c r="O16" s="2">
        <f>Tabela1[[#This Row],[Total]]*$B$4</f>
        <v>0</v>
      </c>
      <c r="P16" s="2">
        <f>Tabela1[[#This Row],[IR]]-Tabela1[[#This Row],[IR ret]]</f>
        <v>0</v>
      </c>
      <c r="Q16" s="2">
        <f>SUMIFS(NFs!$G:$G,NFs!$H:$H,"="&amp;TRUE,NFs!$B:$B,"&gt;="&amp;Tabela1[[#This Row],[mes]],NFs!$B:$B,"&lt;"&amp;ResumoMensal!A17)</f>
        <v>0</v>
      </c>
      <c r="R16" s="2">
        <f>Tabela1[[#This Row],[Total]]*$B$5</f>
        <v>0</v>
      </c>
      <c r="S16" s="2">
        <f>Tabela1[[#This Row],[CSLL]]-Tabela1[[#This Row],[CSLL Ret]]</f>
        <v>0</v>
      </c>
    </row>
    <row r="17" spans="1:19" x14ac:dyDescent="0.25">
      <c r="A17" s="9">
        <v>45597</v>
      </c>
      <c r="B17" s="2">
        <f>SUMIFS(NFs!$C:$C,NFs!$H:$H,"="&amp;TRUE,NFs!$B:$B,"&gt;="&amp;Tabela1[[#This Row],[mes]],NFs!$B:$B,"&lt;"&amp;ResumoMensal!A18)</f>
        <v>0</v>
      </c>
      <c r="G17" s="2">
        <f>SUM(Tabela1[[#This Row],[Nfs]:[Aluguel]])</f>
        <v>0</v>
      </c>
      <c r="H17" s="2">
        <f>SUMIFS(NFs!$D:$D,NFs!$H:$H,"="&amp;TRUE,NFs!$B:$B,"&gt;="&amp;Tabela1[[#This Row],[mes]],NFs!$B:$B,"&lt;"&amp;ResumoMensal!A18)</f>
        <v>0</v>
      </c>
      <c r="I17" s="2">
        <f>Tabela1[[#This Row],[Total]]*$B$2</f>
        <v>0</v>
      </c>
      <c r="J17" s="2">
        <f>Tabela1[[#This Row],[PIS]]-Tabela1[[#This Row],[Pis Ret]]</f>
        <v>0</v>
      </c>
      <c r="K17" s="2">
        <f>SUMIFS(NFs!$E:$E,NFs!$H:$H,"="&amp;TRUE,NFs!$B:$B,"&gt;="&amp;Tabela1[[#This Row],[mes]],NFs!$B:$B,"&lt;"&amp;ResumoMensal!A18)</f>
        <v>0</v>
      </c>
      <c r="L17" s="2">
        <f>Tabela1[[#This Row],[Total]]*$B$3</f>
        <v>0</v>
      </c>
      <c r="M17" s="2">
        <f>Tabela1[[#This Row],[Cofins]]-Tabela1[[#This Row],[Cofins Ret]]</f>
        <v>0</v>
      </c>
      <c r="N17" s="2">
        <f>SUMIFS(NFs!$F:$F,NFs!$H:$H,"="&amp;TRUE,NFs!$B:$B,"&gt;="&amp;Tabela1[[#This Row],[mes]],NFs!$B:$B,"&lt;"&amp;ResumoMensal!A18)</f>
        <v>0</v>
      </c>
      <c r="O17" s="2">
        <f>Tabela1[[#This Row],[Total]]*$B$4</f>
        <v>0</v>
      </c>
      <c r="P17" s="2">
        <f>Tabela1[[#This Row],[IR]]-Tabela1[[#This Row],[IR ret]]</f>
        <v>0</v>
      </c>
      <c r="Q17" s="2">
        <f>SUMIFS(NFs!$G:$G,NFs!$H:$H,"="&amp;TRUE,NFs!$B:$B,"&gt;="&amp;Tabela1[[#This Row],[mes]],NFs!$B:$B,"&lt;"&amp;ResumoMensal!A18)</f>
        <v>0</v>
      </c>
      <c r="R17" s="2">
        <f>Tabela1[[#This Row],[Total]]*$B$5</f>
        <v>0</v>
      </c>
      <c r="S17" s="2">
        <f>Tabela1[[#This Row],[CSLL]]-Tabela1[[#This Row],[CSLL Ret]]</f>
        <v>0</v>
      </c>
    </row>
    <row r="18" spans="1:19" x14ac:dyDescent="0.25">
      <c r="A18" s="9">
        <v>45627</v>
      </c>
      <c r="B18" s="2">
        <f>SUMIFS(NFs!$C:$C,NFs!$H:$H,"="&amp;TRUE,NFs!$B:$B,"&gt;="&amp;Tabela1[[#This Row],[mes]],NFs!$B:$B,"&lt;"&amp;ResumoMensal!A19)</f>
        <v>0</v>
      </c>
      <c r="G18" s="2">
        <f>SUM(Tabela1[[#This Row],[Nfs]:[Aluguel]])</f>
        <v>0</v>
      </c>
      <c r="H18" s="2">
        <f>SUMIFS(NFs!$D:$D,NFs!$H:$H,"="&amp;TRUE,NFs!$B:$B,"&gt;="&amp;Tabela1[[#This Row],[mes]],NFs!$B:$B,"&lt;"&amp;ResumoMensal!A19)</f>
        <v>0</v>
      </c>
      <c r="I18" s="2">
        <f>Tabela1[[#This Row],[Total]]*$B$2</f>
        <v>0</v>
      </c>
      <c r="J18" s="2">
        <f>Tabela1[[#This Row],[PIS]]-Tabela1[[#This Row],[Pis Ret]]</f>
        <v>0</v>
      </c>
      <c r="K18" s="2">
        <f>SUMIFS(NFs!$E:$E,NFs!$H:$H,"="&amp;TRUE,NFs!$B:$B,"&gt;="&amp;Tabela1[[#This Row],[mes]],NFs!$B:$B,"&lt;"&amp;ResumoMensal!A19)</f>
        <v>0</v>
      </c>
      <c r="L18" s="2">
        <f>Tabela1[[#This Row],[Total]]*$B$3</f>
        <v>0</v>
      </c>
      <c r="M18" s="2">
        <f>Tabela1[[#This Row],[Cofins]]-Tabela1[[#This Row],[Cofins Ret]]</f>
        <v>0</v>
      </c>
      <c r="N18" s="2">
        <f>SUMIFS(NFs!$F:$F,NFs!$H:$H,"="&amp;TRUE,NFs!$B:$B,"&gt;="&amp;Tabela1[[#This Row],[mes]],NFs!$B:$B,"&lt;"&amp;ResumoMensal!A19)</f>
        <v>0</v>
      </c>
      <c r="O18" s="2">
        <f>Tabela1[[#This Row],[Total]]*$B$4</f>
        <v>0</v>
      </c>
      <c r="P18" s="2">
        <f>Tabela1[[#This Row],[IR]]-Tabela1[[#This Row],[IR ret]]</f>
        <v>0</v>
      </c>
      <c r="Q18" s="2">
        <f>SUMIFS(NFs!$G:$G,NFs!$H:$H,"="&amp;TRUE,NFs!$B:$B,"&gt;="&amp;Tabela1[[#This Row],[mes]],NFs!$B:$B,"&lt;"&amp;ResumoMensal!A19)</f>
        <v>0</v>
      </c>
      <c r="R18" s="2">
        <f>Tabela1[[#This Row],[Total]]*$B$5</f>
        <v>0</v>
      </c>
      <c r="S18" s="2">
        <f>Tabela1[[#This Row],[CSLL]]-Tabela1[[#This Row],[CSLL Ret]]</f>
        <v>0</v>
      </c>
    </row>
    <row r="19" spans="1:19" x14ac:dyDescent="0.25">
      <c r="A19" s="9">
        <v>45658</v>
      </c>
      <c r="B19" s="2">
        <f>SUMIFS(NFs!$C:$C,NFs!$H:$H,"="&amp;TRUE,NFs!$B:$B,"&gt;="&amp;Tabela1[[#This Row],[mes]],NFs!$B:$B,"&lt;"&amp;ResumoMensal!A20)</f>
        <v>0</v>
      </c>
      <c r="G19" s="2">
        <f>SUM(Tabela1[[#This Row],[Nfs]:[Aluguel]])</f>
        <v>0</v>
      </c>
      <c r="H19" s="2">
        <f>SUMIFS(NFs!$D:$D,NFs!$H:$H,"="&amp;TRUE,NFs!$B:$B,"&gt;="&amp;Tabela1[[#This Row],[mes]],NFs!$B:$B,"&lt;"&amp;ResumoMensal!A20)</f>
        <v>0</v>
      </c>
      <c r="I19" s="2">
        <f>Tabela1[[#This Row],[Total]]*$B$2</f>
        <v>0</v>
      </c>
      <c r="J19" s="2">
        <f>Tabela1[[#This Row],[PIS]]-Tabela1[[#This Row],[Pis Ret]]</f>
        <v>0</v>
      </c>
      <c r="K19" s="2">
        <f>SUMIFS(NFs!$E:$E,NFs!$H:$H,"="&amp;TRUE,NFs!$B:$B,"&gt;="&amp;Tabela1[[#This Row],[mes]],NFs!$B:$B,"&lt;"&amp;ResumoMensal!A20)</f>
        <v>0</v>
      </c>
      <c r="L19" s="2">
        <f>Tabela1[[#This Row],[Total]]*$B$3</f>
        <v>0</v>
      </c>
      <c r="M19" s="2">
        <f>Tabela1[[#This Row],[Cofins]]-Tabela1[[#This Row],[Cofins Ret]]</f>
        <v>0</v>
      </c>
      <c r="N19" s="2">
        <f>SUMIFS(NFs!$F:$F,NFs!$H:$H,"="&amp;TRUE,NFs!$B:$B,"&gt;="&amp;Tabela1[[#This Row],[mes]],NFs!$B:$B,"&lt;"&amp;ResumoMensal!A20)</f>
        <v>0</v>
      </c>
      <c r="O19" s="2">
        <f>Tabela1[[#This Row],[Total]]*$B$4</f>
        <v>0</v>
      </c>
      <c r="P19" s="2">
        <f>Tabela1[[#This Row],[IR]]-Tabela1[[#This Row],[IR ret]]</f>
        <v>0</v>
      </c>
      <c r="Q19" s="2">
        <f>SUMIFS(NFs!$G:$G,NFs!$H:$H,"="&amp;TRUE,NFs!$B:$B,"&gt;="&amp;Tabela1[[#This Row],[mes]],NFs!$B:$B,"&lt;"&amp;ResumoMensal!A20)</f>
        <v>0</v>
      </c>
      <c r="R19" s="2">
        <f>Tabela1[[#This Row],[Total]]*$B$5</f>
        <v>0</v>
      </c>
      <c r="S19" s="2">
        <f>Tabela1[[#This Row],[CSLL]]-Tabela1[[#This Row],[CSLL Ret]]</f>
        <v>0</v>
      </c>
    </row>
    <row r="20" spans="1:19" x14ac:dyDescent="0.25">
      <c r="A20" s="9">
        <v>45689</v>
      </c>
      <c r="B20" s="2">
        <f>SUMIFS(NFs!$C:$C,NFs!$H:$H,"="&amp;TRUE,NFs!$B:$B,"&gt;="&amp;Tabela1[[#This Row],[mes]],NFs!$B:$B,"&lt;"&amp;ResumoMensal!A21)</f>
        <v>0</v>
      </c>
      <c r="G20" s="2">
        <f>SUM(Tabela1[[#This Row],[Nfs]:[Aluguel]])</f>
        <v>0</v>
      </c>
      <c r="H20" s="2">
        <f>SUMIFS(NFs!$D:$D,NFs!$H:$H,"="&amp;TRUE,NFs!$B:$B,"&gt;="&amp;Tabela1[[#This Row],[mes]],NFs!$B:$B,"&lt;"&amp;ResumoMensal!A21)</f>
        <v>0</v>
      </c>
      <c r="I20" s="2">
        <f>Tabela1[[#This Row],[Total]]*$B$2</f>
        <v>0</v>
      </c>
      <c r="J20" s="2">
        <f>Tabela1[[#This Row],[PIS]]-Tabela1[[#This Row],[Pis Ret]]</f>
        <v>0</v>
      </c>
      <c r="K20" s="2">
        <f>SUMIFS(NFs!$E:$E,NFs!$H:$H,"="&amp;TRUE,NFs!$B:$B,"&gt;="&amp;Tabela1[[#This Row],[mes]],NFs!$B:$B,"&lt;"&amp;ResumoMensal!A21)</f>
        <v>0</v>
      </c>
      <c r="L20" s="2">
        <f>Tabela1[[#This Row],[Total]]*$B$3</f>
        <v>0</v>
      </c>
      <c r="M20" s="2">
        <f>Tabela1[[#This Row],[Cofins]]-Tabela1[[#This Row],[Cofins Ret]]</f>
        <v>0</v>
      </c>
      <c r="N20" s="2">
        <f>SUMIFS(NFs!$F:$F,NFs!$H:$H,"="&amp;TRUE,NFs!$B:$B,"&gt;="&amp;Tabela1[[#This Row],[mes]],NFs!$B:$B,"&lt;"&amp;ResumoMensal!A21)</f>
        <v>0</v>
      </c>
      <c r="O20" s="2">
        <f>Tabela1[[#This Row],[Total]]*$B$4</f>
        <v>0</v>
      </c>
      <c r="P20" s="2">
        <f>Tabela1[[#This Row],[IR]]-Tabela1[[#This Row],[IR ret]]</f>
        <v>0</v>
      </c>
      <c r="Q20" s="2">
        <f>SUMIFS(NFs!$G:$G,NFs!$H:$H,"="&amp;TRUE,NFs!$B:$B,"&gt;="&amp;Tabela1[[#This Row],[mes]],NFs!$B:$B,"&lt;"&amp;ResumoMensal!A21)</f>
        <v>0</v>
      </c>
      <c r="R20" s="2">
        <f>Tabela1[[#This Row],[Total]]*$B$5</f>
        <v>0</v>
      </c>
      <c r="S20" s="2">
        <f>Tabela1[[#This Row],[CSLL]]-Tabela1[[#This Row],[CSLL Ret]]</f>
        <v>0</v>
      </c>
    </row>
    <row r="21" spans="1:19" x14ac:dyDescent="0.25">
      <c r="A21" s="9">
        <v>45717</v>
      </c>
      <c r="B21" s="2">
        <f>SUMIFS(NFs!$C:$C,NFs!$H:$H,"="&amp;TRUE,NFs!$B:$B,"&gt;="&amp;Tabela1[[#This Row],[mes]],NFs!$B:$B,"&lt;"&amp;ResumoMensal!A22)</f>
        <v>0</v>
      </c>
      <c r="G21" s="2">
        <f>SUM(Tabela1[[#This Row],[Nfs]:[Aluguel]])</f>
        <v>0</v>
      </c>
      <c r="H21" s="2">
        <f>SUMIFS(NFs!$D:$D,NFs!$H:$H,"="&amp;TRUE,NFs!$B:$B,"&gt;="&amp;Tabela1[[#This Row],[mes]],NFs!$B:$B,"&lt;"&amp;ResumoMensal!A22)</f>
        <v>0</v>
      </c>
      <c r="I21" s="2">
        <f>Tabela1[[#This Row],[Total]]*$B$2</f>
        <v>0</v>
      </c>
      <c r="J21" s="2">
        <f>Tabela1[[#This Row],[PIS]]-Tabela1[[#This Row],[Pis Ret]]</f>
        <v>0</v>
      </c>
      <c r="K21" s="2">
        <f>SUMIFS(NFs!$E:$E,NFs!$H:$H,"="&amp;TRUE,NFs!$B:$B,"&gt;="&amp;Tabela1[[#This Row],[mes]],NFs!$B:$B,"&lt;"&amp;ResumoMensal!A22)</f>
        <v>0</v>
      </c>
      <c r="L21" s="2">
        <f>Tabela1[[#This Row],[Total]]*$B$3</f>
        <v>0</v>
      </c>
      <c r="M21" s="2">
        <f>Tabela1[[#This Row],[Cofins]]-Tabela1[[#This Row],[Cofins Ret]]</f>
        <v>0</v>
      </c>
      <c r="N21" s="2">
        <f>SUMIFS(NFs!$F:$F,NFs!$H:$H,"="&amp;TRUE,NFs!$B:$B,"&gt;="&amp;Tabela1[[#This Row],[mes]],NFs!$B:$B,"&lt;"&amp;ResumoMensal!A22)</f>
        <v>0</v>
      </c>
      <c r="O21" s="2">
        <f>Tabela1[[#This Row],[Total]]*$B$4</f>
        <v>0</v>
      </c>
      <c r="P21" s="2">
        <f>Tabela1[[#This Row],[IR]]-Tabela1[[#This Row],[IR ret]]</f>
        <v>0</v>
      </c>
      <c r="Q21" s="2">
        <f>SUMIFS(NFs!$G:$G,NFs!$H:$H,"="&amp;TRUE,NFs!$B:$B,"&gt;="&amp;Tabela1[[#This Row],[mes]],NFs!$B:$B,"&lt;"&amp;ResumoMensal!A22)</f>
        <v>0</v>
      </c>
      <c r="R21" s="2">
        <f>Tabela1[[#This Row],[Total]]*$B$5</f>
        <v>0</v>
      </c>
      <c r="S21" s="2">
        <f>Tabela1[[#This Row],[CSLL]]-Tabela1[[#This Row],[CSLL Ret]]</f>
        <v>0</v>
      </c>
    </row>
    <row r="22" spans="1:19" x14ac:dyDescent="0.25">
      <c r="A22" s="9">
        <v>45748</v>
      </c>
      <c r="B22" s="2">
        <f>SUMIFS(NFs!$C:$C,NFs!$H:$H,"="&amp;TRUE,NFs!$B:$B,"&gt;="&amp;Tabela1[[#This Row],[mes]],NFs!$B:$B,"&lt;"&amp;ResumoMensal!A23)</f>
        <v>0</v>
      </c>
      <c r="G22" s="2">
        <f>SUM(Tabela1[[#This Row],[Nfs]:[Aluguel]])</f>
        <v>0</v>
      </c>
      <c r="H22" s="2">
        <f>SUMIFS(NFs!$D:$D,NFs!$H:$H,"="&amp;TRUE,NFs!$B:$B,"&gt;="&amp;Tabela1[[#This Row],[mes]],NFs!$B:$B,"&lt;"&amp;ResumoMensal!A23)</f>
        <v>0</v>
      </c>
      <c r="I22" s="2">
        <f>Tabela1[[#This Row],[Total]]*$B$2</f>
        <v>0</v>
      </c>
      <c r="J22" s="2">
        <f>Tabela1[[#This Row],[PIS]]-Tabela1[[#This Row],[Pis Ret]]</f>
        <v>0</v>
      </c>
      <c r="K22" s="2">
        <f>SUMIFS(NFs!$E:$E,NFs!$H:$H,"="&amp;TRUE,NFs!$B:$B,"&gt;="&amp;Tabela1[[#This Row],[mes]],NFs!$B:$B,"&lt;"&amp;ResumoMensal!A23)</f>
        <v>0</v>
      </c>
      <c r="L22" s="2">
        <f>Tabela1[[#This Row],[Total]]*$B$3</f>
        <v>0</v>
      </c>
      <c r="M22" s="2">
        <f>Tabela1[[#This Row],[Cofins]]-Tabela1[[#This Row],[Cofins Ret]]</f>
        <v>0</v>
      </c>
      <c r="N22" s="2">
        <f>SUMIFS(NFs!$F:$F,NFs!$H:$H,"="&amp;TRUE,NFs!$B:$B,"&gt;="&amp;Tabela1[[#This Row],[mes]],NFs!$B:$B,"&lt;"&amp;ResumoMensal!A23)</f>
        <v>0</v>
      </c>
      <c r="O22" s="2">
        <f>Tabela1[[#This Row],[Total]]*$B$4</f>
        <v>0</v>
      </c>
      <c r="P22" s="2">
        <f>Tabela1[[#This Row],[IR]]-Tabela1[[#This Row],[IR ret]]</f>
        <v>0</v>
      </c>
      <c r="Q22" s="2">
        <f>SUMIFS(NFs!$G:$G,NFs!$H:$H,"="&amp;TRUE,NFs!$B:$B,"&gt;="&amp;Tabela1[[#This Row],[mes]],NFs!$B:$B,"&lt;"&amp;ResumoMensal!A23)</f>
        <v>0</v>
      </c>
      <c r="R22" s="2">
        <f>Tabela1[[#This Row],[Total]]*$B$5</f>
        <v>0</v>
      </c>
      <c r="S22" s="2">
        <f>Tabela1[[#This Row],[CSLL]]-Tabela1[[#This Row],[CSLL Ret]]</f>
        <v>0</v>
      </c>
    </row>
    <row r="23" spans="1:19" x14ac:dyDescent="0.25">
      <c r="A23" s="9">
        <v>45778</v>
      </c>
      <c r="B23" s="2">
        <f>SUMIFS(NFs!$C:$C,NFs!$H:$H,"="&amp;TRUE,NFs!$B:$B,"&gt;="&amp;Tabela1[[#This Row],[mes]],NFs!$B:$B,"&lt;"&amp;ResumoMensal!A24)</f>
        <v>0</v>
      </c>
      <c r="G23" s="2">
        <f>SUM(Tabela1[[#This Row],[Nfs]:[Aluguel]])</f>
        <v>0</v>
      </c>
      <c r="H23" s="2">
        <f>SUMIFS(NFs!$D:$D,NFs!$H:$H,"="&amp;TRUE,NFs!$B:$B,"&gt;="&amp;Tabela1[[#This Row],[mes]],NFs!$B:$B,"&lt;"&amp;ResumoMensal!A24)</f>
        <v>0</v>
      </c>
      <c r="I23" s="2">
        <f>Tabela1[[#This Row],[Total]]*$B$2</f>
        <v>0</v>
      </c>
      <c r="J23" s="2">
        <f>Tabela1[[#This Row],[PIS]]-Tabela1[[#This Row],[Pis Ret]]</f>
        <v>0</v>
      </c>
      <c r="K23" s="2">
        <f>SUMIFS(NFs!$E:$E,NFs!$H:$H,"="&amp;TRUE,NFs!$B:$B,"&gt;="&amp;Tabela1[[#This Row],[mes]],NFs!$B:$B,"&lt;"&amp;ResumoMensal!A24)</f>
        <v>0</v>
      </c>
      <c r="L23" s="2">
        <f>Tabela1[[#This Row],[Total]]*$B$3</f>
        <v>0</v>
      </c>
      <c r="M23" s="2">
        <f>Tabela1[[#This Row],[Cofins]]-Tabela1[[#This Row],[Cofins Ret]]</f>
        <v>0</v>
      </c>
      <c r="N23" s="2">
        <f>SUMIFS(NFs!$F:$F,NFs!$H:$H,"="&amp;TRUE,NFs!$B:$B,"&gt;="&amp;Tabela1[[#This Row],[mes]],NFs!$B:$B,"&lt;"&amp;ResumoMensal!A24)</f>
        <v>0</v>
      </c>
      <c r="O23" s="2">
        <f>Tabela1[[#This Row],[Total]]*$B$4</f>
        <v>0</v>
      </c>
      <c r="P23" s="2">
        <f>Tabela1[[#This Row],[IR]]-Tabela1[[#This Row],[IR ret]]</f>
        <v>0</v>
      </c>
      <c r="Q23" s="2">
        <f>SUMIFS(NFs!$G:$G,NFs!$H:$H,"="&amp;TRUE,NFs!$B:$B,"&gt;="&amp;Tabela1[[#This Row],[mes]],NFs!$B:$B,"&lt;"&amp;ResumoMensal!A24)</f>
        <v>0</v>
      </c>
      <c r="R23" s="2">
        <f>Tabela1[[#This Row],[Total]]*$B$5</f>
        <v>0</v>
      </c>
      <c r="S23" s="2">
        <f>Tabela1[[#This Row],[CSLL]]-Tabela1[[#This Row],[CSLL Ret]]</f>
        <v>0</v>
      </c>
    </row>
    <row r="24" spans="1:19" x14ac:dyDescent="0.25">
      <c r="A24" s="9">
        <v>45809</v>
      </c>
      <c r="B24" s="2">
        <f>SUMIFS(NFs!$C:$C,NFs!$H:$H,"="&amp;TRUE,NFs!$B:$B,"&gt;="&amp;Tabela1[[#This Row],[mes]],NFs!$B:$B,"&lt;"&amp;ResumoMensal!A25)</f>
        <v>0</v>
      </c>
      <c r="G24" s="2">
        <f>SUM(Tabela1[[#This Row],[Nfs]:[Aluguel]])</f>
        <v>0</v>
      </c>
      <c r="H24" s="2">
        <f>SUMIFS(NFs!$D:$D,NFs!$H:$H,"="&amp;TRUE,NFs!$B:$B,"&gt;="&amp;Tabela1[[#This Row],[mes]],NFs!$B:$B,"&lt;"&amp;ResumoMensal!A25)</f>
        <v>0</v>
      </c>
      <c r="I24" s="2">
        <f>Tabela1[[#This Row],[Total]]*$B$2</f>
        <v>0</v>
      </c>
      <c r="J24" s="2">
        <f>Tabela1[[#This Row],[PIS]]-Tabela1[[#This Row],[Pis Ret]]</f>
        <v>0</v>
      </c>
      <c r="K24" s="2">
        <f>SUMIFS(NFs!$E:$E,NFs!$H:$H,"="&amp;TRUE,NFs!$B:$B,"&gt;="&amp;Tabela1[[#This Row],[mes]],NFs!$B:$B,"&lt;"&amp;ResumoMensal!A25)</f>
        <v>0</v>
      </c>
      <c r="L24" s="2">
        <f>Tabela1[[#This Row],[Total]]*$B$3</f>
        <v>0</v>
      </c>
      <c r="M24" s="2">
        <f>Tabela1[[#This Row],[Cofins]]-Tabela1[[#This Row],[Cofins Ret]]</f>
        <v>0</v>
      </c>
      <c r="N24" s="2">
        <f>SUMIFS(NFs!$F:$F,NFs!$H:$H,"="&amp;TRUE,NFs!$B:$B,"&gt;="&amp;Tabela1[[#This Row],[mes]],NFs!$B:$B,"&lt;"&amp;ResumoMensal!A25)</f>
        <v>0</v>
      </c>
      <c r="O24" s="2">
        <f>Tabela1[[#This Row],[Total]]*$B$4</f>
        <v>0</v>
      </c>
      <c r="P24" s="2">
        <f>Tabela1[[#This Row],[IR]]-Tabela1[[#This Row],[IR ret]]</f>
        <v>0</v>
      </c>
      <c r="Q24" s="2">
        <f>SUMIFS(NFs!$G:$G,NFs!$H:$H,"="&amp;TRUE,NFs!$B:$B,"&gt;="&amp;Tabela1[[#This Row],[mes]],NFs!$B:$B,"&lt;"&amp;ResumoMensal!A25)</f>
        <v>0</v>
      </c>
      <c r="R24" s="2">
        <f>Tabela1[[#This Row],[Total]]*$B$5</f>
        <v>0</v>
      </c>
      <c r="S24" s="2">
        <f>Tabela1[[#This Row],[CSLL]]-Tabela1[[#This Row],[CSLL Ret]]</f>
        <v>0</v>
      </c>
    </row>
    <row r="25" spans="1:19" x14ac:dyDescent="0.25">
      <c r="A25" s="9">
        <v>45839</v>
      </c>
      <c r="B25" s="2">
        <f>SUMIFS(NFs!$C:$C,NFs!$H:$H,"="&amp;TRUE,NFs!$B:$B,"&gt;="&amp;Tabela1[[#This Row],[mes]],NFs!$B:$B,"&lt;"&amp;ResumoMensal!A26)</f>
        <v>0</v>
      </c>
      <c r="G25" s="2">
        <f>SUM(Tabela1[[#This Row],[Nfs]:[Aluguel]])</f>
        <v>0</v>
      </c>
      <c r="H25" s="2">
        <f>SUMIFS(NFs!$D:$D,NFs!$H:$H,"="&amp;TRUE,NFs!$B:$B,"&gt;="&amp;Tabela1[[#This Row],[mes]],NFs!$B:$B,"&lt;"&amp;ResumoMensal!A26)</f>
        <v>0</v>
      </c>
      <c r="I25" s="2">
        <f>Tabela1[[#This Row],[Total]]*$B$2</f>
        <v>0</v>
      </c>
      <c r="J25" s="2">
        <f>Tabela1[[#This Row],[PIS]]-Tabela1[[#This Row],[Pis Ret]]</f>
        <v>0</v>
      </c>
      <c r="K25" s="2">
        <f>SUMIFS(NFs!$E:$E,NFs!$H:$H,"="&amp;TRUE,NFs!$B:$B,"&gt;="&amp;Tabela1[[#This Row],[mes]],NFs!$B:$B,"&lt;"&amp;ResumoMensal!A26)</f>
        <v>0</v>
      </c>
      <c r="L25" s="2">
        <f>Tabela1[[#This Row],[Total]]*$B$3</f>
        <v>0</v>
      </c>
      <c r="M25" s="2">
        <f>Tabela1[[#This Row],[Cofins]]-Tabela1[[#This Row],[Cofins Ret]]</f>
        <v>0</v>
      </c>
      <c r="N25" s="2">
        <f>SUMIFS(NFs!$F:$F,NFs!$H:$H,"="&amp;TRUE,NFs!$B:$B,"&gt;="&amp;Tabela1[[#This Row],[mes]],NFs!$B:$B,"&lt;"&amp;ResumoMensal!A26)</f>
        <v>0</v>
      </c>
      <c r="O25" s="2">
        <f>Tabela1[[#This Row],[Total]]*$B$4</f>
        <v>0</v>
      </c>
      <c r="P25" s="2">
        <f>Tabela1[[#This Row],[IR]]-Tabela1[[#This Row],[IR ret]]</f>
        <v>0</v>
      </c>
      <c r="Q25" s="2">
        <f>SUMIFS(NFs!$G:$G,NFs!$H:$H,"="&amp;TRUE,NFs!$B:$B,"&gt;="&amp;Tabela1[[#This Row],[mes]],NFs!$B:$B,"&lt;"&amp;ResumoMensal!A26)</f>
        <v>0</v>
      </c>
      <c r="R25" s="2">
        <f>Tabela1[[#This Row],[Total]]*$B$5</f>
        <v>0</v>
      </c>
      <c r="S25" s="2">
        <f>Tabela1[[#This Row],[CSLL]]-Tabela1[[#This Row],[CSLL Ret]]</f>
        <v>0</v>
      </c>
    </row>
    <row r="26" spans="1:19" x14ac:dyDescent="0.25">
      <c r="A26" s="9">
        <v>45870</v>
      </c>
      <c r="B26" s="2">
        <f>SUMIFS(NFs!$C:$C,NFs!$H:$H,"="&amp;TRUE,NFs!$B:$B,"&gt;="&amp;Tabela1[[#This Row],[mes]],NFs!$B:$B,"&lt;"&amp;ResumoMensal!A27)</f>
        <v>0</v>
      </c>
      <c r="G26" s="2">
        <f>SUM(Tabela1[[#This Row],[Nfs]:[Aluguel]])</f>
        <v>0</v>
      </c>
      <c r="H26" s="2">
        <f>SUMIFS(NFs!$D:$D,NFs!$H:$H,"="&amp;TRUE,NFs!$B:$B,"&gt;="&amp;Tabela1[[#This Row],[mes]],NFs!$B:$B,"&lt;"&amp;ResumoMensal!A27)</f>
        <v>0</v>
      </c>
      <c r="I26" s="2">
        <f>Tabela1[[#This Row],[Total]]*$B$2</f>
        <v>0</v>
      </c>
      <c r="J26" s="2">
        <f>Tabela1[[#This Row],[PIS]]-Tabela1[[#This Row],[Pis Ret]]</f>
        <v>0</v>
      </c>
      <c r="K26" s="2">
        <f>SUMIFS(NFs!$E:$E,NFs!$H:$H,"="&amp;TRUE,NFs!$B:$B,"&gt;="&amp;Tabela1[[#This Row],[mes]],NFs!$B:$B,"&lt;"&amp;ResumoMensal!A27)</f>
        <v>0</v>
      </c>
      <c r="L26" s="2">
        <f>Tabela1[[#This Row],[Total]]*$B$3</f>
        <v>0</v>
      </c>
      <c r="M26" s="2">
        <f>Tabela1[[#This Row],[Cofins]]-Tabela1[[#This Row],[Cofins Ret]]</f>
        <v>0</v>
      </c>
      <c r="N26" s="2">
        <f>SUMIFS(NFs!$F:$F,NFs!$H:$H,"="&amp;TRUE,NFs!$B:$B,"&gt;="&amp;Tabela1[[#This Row],[mes]],NFs!$B:$B,"&lt;"&amp;ResumoMensal!A27)</f>
        <v>0</v>
      </c>
      <c r="O26" s="2">
        <f>Tabela1[[#This Row],[Total]]*$B$4</f>
        <v>0</v>
      </c>
      <c r="P26" s="2">
        <f>Tabela1[[#This Row],[IR]]-Tabela1[[#This Row],[IR ret]]</f>
        <v>0</v>
      </c>
      <c r="Q26" s="2">
        <f>SUMIFS(NFs!$G:$G,NFs!$H:$H,"="&amp;TRUE,NFs!$B:$B,"&gt;="&amp;Tabela1[[#This Row],[mes]],NFs!$B:$B,"&lt;"&amp;ResumoMensal!A27)</f>
        <v>0</v>
      </c>
      <c r="R26" s="2">
        <f>Tabela1[[#This Row],[Total]]*$B$5</f>
        <v>0</v>
      </c>
      <c r="S26" s="2">
        <f>Tabela1[[#This Row],[CSLL]]-Tabela1[[#This Row],[CSLL Ret]]</f>
        <v>0</v>
      </c>
    </row>
    <row r="27" spans="1:19" x14ac:dyDescent="0.25">
      <c r="A27" s="9">
        <v>45901</v>
      </c>
      <c r="B27" s="2">
        <f>SUMIFS(NFs!$C:$C,NFs!$H:$H,"="&amp;TRUE,NFs!$B:$B,"&gt;="&amp;Tabela1[[#This Row],[mes]],NFs!$B:$B,"&lt;"&amp;ResumoMensal!A28)</f>
        <v>0</v>
      </c>
      <c r="G27" s="2">
        <f>SUM(Tabela1[[#This Row],[Nfs]:[Aluguel]])</f>
        <v>0</v>
      </c>
      <c r="H27" s="2">
        <f>SUMIFS(NFs!$D:$D,NFs!$H:$H,"="&amp;TRUE,NFs!$B:$B,"&gt;="&amp;Tabela1[[#This Row],[mes]],NFs!$B:$B,"&lt;"&amp;ResumoMensal!A28)</f>
        <v>0</v>
      </c>
      <c r="I27" s="2">
        <f>Tabela1[[#This Row],[Total]]*$B$2</f>
        <v>0</v>
      </c>
      <c r="J27" s="2">
        <f>Tabela1[[#This Row],[PIS]]-Tabela1[[#This Row],[Pis Ret]]</f>
        <v>0</v>
      </c>
      <c r="K27" s="2">
        <f>SUMIFS(NFs!$E:$E,NFs!$H:$H,"="&amp;TRUE,NFs!$B:$B,"&gt;="&amp;Tabela1[[#This Row],[mes]],NFs!$B:$B,"&lt;"&amp;ResumoMensal!A28)</f>
        <v>0</v>
      </c>
      <c r="L27" s="2">
        <f>Tabela1[[#This Row],[Total]]*$B$3</f>
        <v>0</v>
      </c>
      <c r="M27" s="2">
        <f>Tabela1[[#This Row],[Cofins]]-Tabela1[[#This Row],[Cofins Ret]]</f>
        <v>0</v>
      </c>
      <c r="N27" s="2">
        <f>SUMIFS(NFs!$F:$F,NFs!$H:$H,"="&amp;TRUE,NFs!$B:$B,"&gt;="&amp;Tabela1[[#This Row],[mes]],NFs!$B:$B,"&lt;"&amp;ResumoMensal!A28)</f>
        <v>0</v>
      </c>
      <c r="O27" s="2">
        <f>Tabela1[[#This Row],[Total]]*$B$4</f>
        <v>0</v>
      </c>
      <c r="P27" s="2">
        <f>Tabela1[[#This Row],[IR]]-Tabela1[[#This Row],[IR ret]]</f>
        <v>0</v>
      </c>
      <c r="Q27" s="2">
        <f>SUMIFS(NFs!$G:$G,NFs!$H:$H,"="&amp;TRUE,NFs!$B:$B,"&gt;="&amp;Tabela1[[#This Row],[mes]],NFs!$B:$B,"&lt;"&amp;ResumoMensal!A28)</f>
        <v>0</v>
      </c>
      <c r="R27" s="2">
        <f>Tabela1[[#This Row],[Total]]*$B$5</f>
        <v>0</v>
      </c>
      <c r="S27" s="2">
        <f>Tabela1[[#This Row],[CSLL]]-Tabela1[[#This Row],[CSLL Ret]]</f>
        <v>0</v>
      </c>
    </row>
    <row r="28" spans="1:19" x14ac:dyDescent="0.25">
      <c r="A28" s="9">
        <v>45931</v>
      </c>
      <c r="B28" s="2">
        <f>SUMIFS(NFs!$C:$C,NFs!$H:$H,"="&amp;TRUE,NFs!$B:$B,"&gt;="&amp;Tabela1[[#This Row],[mes]],NFs!$B:$B,"&lt;"&amp;ResumoMensal!A29)</f>
        <v>0</v>
      </c>
      <c r="G28" s="2">
        <f>SUM(Tabela1[[#This Row],[Nfs]:[Aluguel]])</f>
        <v>0</v>
      </c>
      <c r="H28" s="2">
        <f>SUMIFS(NFs!$D:$D,NFs!$H:$H,"="&amp;TRUE,NFs!$B:$B,"&gt;="&amp;Tabela1[[#This Row],[mes]],NFs!$B:$B,"&lt;"&amp;ResumoMensal!A29)</f>
        <v>0</v>
      </c>
      <c r="I28" s="2">
        <f>Tabela1[[#This Row],[Total]]*$B$2</f>
        <v>0</v>
      </c>
      <c r="J28" s="2">
        <f>Tabela1[[#This Row],[PIS]]-Tabela1[[#This Row],[Pis Ret]]</f>
        <v>0</v>
      </c>
      <c r="K28" s="2">
        <f>SUMIFS(NFs!$E:$E,NFs!$H:$H,"="&amp;TRUE,NFs!$B:$B,"&gt;="&amp;Tabela1[[#This Row],[mes]],NFs!$B:$B,"&lt;"&amp;ResumoMensal!A29)</f>
        <v>0</v>
      </c>
      <c r="L28" s="2">
        <f>Tabela1[[#This Row],[Total]]*$B$3</f>
        <v>0</v>
      </c>
      <c r="M28" s="2">
        <f>Tabela1[[#This Row],[Cofins]]-Tabela1[[#This Row],[Cofins Ret]]</f>
        <v>0</v>
      </c>
      <c r="N28" s="2">
        <f>SUMIFS(NFs!$F:$F,NFs!$H:$H,"="&amp;TRUE,NFs!$B:$B,"&gt;="&amp;Tabela1[[#This Row],[mes]],NFs!$B:$B,"&lt;"&amp;ResumoMensal!A29)</f>
        <v>0</v>
      </c>
      <c r="O28" s="2">
        <f>Tabela1[[#This Row],[Total]]*$B$4</f>
        <v>0</v>
      </c>
      <c r="P28" s="2">
        <f>Tabela1[[#This Row],[IR]]-Tabela1[[#This Row],[IR ret]]</f>
        <v>0</v>
      </c>
      <c r="Q28" s="2">
        <f>SUMIFS(NFs!$G:$G,NFs!$H:$H,"="&amp;TRUE,NFs!$B:$B,"&gt;="&amp;Tabela1[[#This Row],[mes]],NFs!$B:$B,"&lt;"&amp;ResumoMensal!A29)</f>
        <v>0</v>
      </c>
      <c r="R28" s="2">
        <f>Tabela1[[#This Row],[Total]]*$B$5</f>
        <v>0</v>
      </c>
      <c r="S28" s="2">
        <f>Tabela1[[#This Row],[CSLL]]-Tabela1[[#This Row],[CSLL Ret]]</f>
        <v>0</v>
      </c>
    </row>
    <row r="29" spans="1:19" x14ac:dyDescent="0.25">
      <c r="A29" s="9">
        <v>45962</v>
      </c>
      <c r="B29" s="2">
        <f>SUMIFS(NFs!$C:$C,NFs!$H:$H,"="&amp;TRUE,NFs!$B:$B,"&gt;="&amp;Tabela1[[#This Row],[mes]],NFs!$B:$B,"&lt;"&amp;ResumoMensal!A30)</f>
        <v>0</v>
      </c>
      <c r="G29" s="2">
        <f>SUM(Tabela1[[#This Row],[Nfs]:[Aluguel]])</f>
        <v>0</v>
      </c>
      <c r="H29" s="2">
        <f>SUMIFS(NFs!$D:$D,NFs!$H:$H,"="&amp;TRUE,NFs!$B:$B,"&gt;="&amp;Tabela1[[#This Row],[mes]],NFs!$B:$B,"&lt;"&amp;ResumoMensal!A30)</f>
        <v>0</v>
      </c>
      <c r="I29" s="2">
        <f>Tabela1[[#This Row],[Total]]*$B$2</f>
        <v>0</v>
      </c>
      <c r="J29" s="2">
        <f>Tabela1[[#This Row],[PIS]]-Tabela1[[#This Row],[Pis Ret]]</f>
        <v>0</v>
      </c>
      <c r="K29" s="2">
        <f>SUMIFS(NFs!$E:$E,NFs!$H:$H,"="&amp;TRUE,NFs!$B:$B,"&gt;="&amp;Tabela1[[#This Row],[mes]],NFs!$B:$B,"&lt;"&amp;ResumoMensal!A30)</f>
        <v>0</v>
      </c>
      <c r="L29" s="2">
        <f>Tabela1[[#This Row],[Total]]*$B$3</f>
        <v>0</v>
      </c>
      <c r="M29" s="2">
        <f>Tabela1[[#This Row],[Cofins]]-Tabela1[[#This Row],[Cofins Ret]]</f>
        <v>0</v>
      </c>
      <c r="N29" s="2">
        <f>SUMIFS(NFs!$F:$F,NFs!$H:$H,"="&amp;TRUE,NFs!$B:$B,"&gt;="&amp;Tabela1[[#This Row],[mes]],NFs!$B:$B,"&lt;"&amp;ResumoMensal!A30)</f>
        <v>0</v>
      </c>
      <c r="O29" s="2">
        <f>Tabela1[[#This Row],[Total]]*$B$4</f>
        <v>0</v>
      </c>
      <c r="P29" s="2">
        <f>Tabela1[[#This Row],[IR]]-Tabela1[[#This Row],[IR ret]]</f>
        <v>0</v>
      </c>
      <c r="Q29" s="2">
        <f>SUMIFS(NFs!$G:$G,NFs!$H:$H,"="&amp;TRUE,NFs!$B:$B,"&gt;="&amp;Tabela1[[#This Row],[mes]],NFs!$B:$B,"&lt;"&amp;ResumoMensal!A30)</f>
        <v>0</v>
      </c>
      <c r="R29" s="2">
        <f>Tabela1[[#This Row],[Total]]*$B$5</f>
        <v>0</v>
      </c>
      <c r="S29" s="2">
        <f>Tabela1[[#This Row],[CSLL]]-Tabela1[[#This Row],[CSLL Ret]]</f>
        <v>0</v>
      </c>
    </row>
    <row r="30" spans="1:19" x14ac:dyDescent="0.25">
      <c r="A30" s="9">
        <v>45992</v>
      </c>
      <c r="B30" s="2">
        <f>SUMIFS(NFs!$C:$C,NFs!$H:$H,"="&amp;TRUE,NFs!$B:$B,"&gt;="&amp;Tabela1[[#This Row],[mes]],NFs!$B:$B,"&lt;"&amp;ResumoMensal!A31)</f>
        <v>0</v>
      </c>
      <c r="G30" s="2">
        <f>SUM(Tabela1[[#This Row],[Nfs]:[Aluguel]])</f>
        <v>0</v>
      </c>
      <c r="H30" s="2">
        <f>SUMIFS(NFs!$D:$D,NFs!$H:$H,"="&amp;TRUE,NFs!$B:$B,"&gt;="&amp;Tabela1[[#This Row],[mes]],NFs!$B:$B,"&lt;"&amp;ResumoMensal!A31)</f>
        <v>0</v>
      </c>
      <c r="I30" s="2">
        <f>Tabela1[[#This Row],[Total]]*$B$2</f>
        <v>0</v>
      </c>
      <c r="J30" s="2">
        <f>Tabela1[[#This Row],[PIS]]-Tabela1[[#This Row],[Pis Ret]]</f>
        <v>0</v>
      </c>
      <c r="K30" s="2">
        <f>SUMIFS(NFs!$E:$E,NFs!$H:$H,"="&amp;TRUE,NFs!$B:$B,"&gt;="&amp;Tabela1[[#This Row],[mes]],NFs!$B:$B,"&lt;"&amp;ResumoMensal!A31)</f>
        <v>0</v>
      </c>
      <c r="L30" s="2">
        <f>Tabela1[[#This Row],[Total]]*$B$3</f>
        <v>0</v>
      </c>
      <c r="M30" s="2">
        <f>Tabela1[[#This Row],[Cofins]]-Tabela1[[#This Row],[Cofins Ret]]</f>
        <v>0</v>
      </c>
      <c r="N30" s="2">
        <f>SUMIFS(NFs!$F:$F,NFs!$H:$H,"="&amp;TRUE,NFs!$B:$B,"&gt;="&amp;Tabela1[[#This Row],[mes]],NFs!$B:$B,"&lt;"&amp;ResumoMensal!A31)</f>
        <v>0</v>
      </c>
      <c r="O30" s="2">
        <f>Tabela1[[#This Row],[Total]]*$B$4</f>
        <v>0</v>
      </c>
      <c r="P30" s="2">
        <f>Tabela1[[#This Row],[IR]]-Tabela1[[#This Row],[IR ret]]</f>
        <v>0</v>
      </c>
      <c r="Q30" s="2">
        <f>SUMIFS(NFs!$G:$G,NFs!$H:$H,"="&amp;TRUE,NFs!$B:$B,"&gt;="&amp;Tabela1[[#This Row],[mes]],NFs!$B:$B,"&lt;"&amp;ResumoMensal!A31)</f>
        <v>0</v>
      </c>
      <c r="R30" s="2">
        <f>Tabela1[[#This Row],[Total]]*$B$5</f>
        <v>0</v>
      </c>
      <c r="S30" s="2">
        <f>Tabela1[[#This Row],[CSLL]]-Tabela1[[#This Row],[CSLL Ret]]</f>
        <v>0</v>
      </c>
    </row>
    <row r="31" spans="1:19" x14ac:dyDescent="0.25">
      <c r="A31" s="9">
        <v>46023</v>
      </c>
      <c r="B31" s="2">
        <f>SUMIFS(NFs!$C:$C,NFs!$H:$H,"="&amp;TRUE,NFs!$B:$B,"&gt;="&amp;Tabela1[[#This Row],[mes]],NFs!$B:$B,"&lt;"&amp;ResumoMensal!A32)</f>
        <v>0</v>
      </c>
      <c r="G31" s="2">
        <f>SUM(Tabela1[[#This Row],[Nfs]:[Aluguel]])</f>
        <v>0</v>
      </c>
      <c r="H31" s="2">
        <f>SUMIFS(NFs!$D:$D,NFs!$H:$H,"="&amp;TRUE,NFs!$B:$B,"&gt;="&amp;Tabela1[[#This Row],[mes]],NFs!$B:$B,"&lt;"&amp;ResumoMensal!A32)</f>
        <v>0</v>
      </c>
      <c r="I31" s="2">
        <f>Tabela1[[#This Row],[Total]]*$B$2</f>
        <v>0</v>
      </c>
      <c r="J31" s="2">
        <f>Tabela1[[#This Row],[PIS]]-Tabela1[[#This Row],[Pis Ret]]</f>
        <v>0</v>
      </c>
      <c r="K31" s="2">
        <f>SUMIFS(NFs!$E:$E,NFs!$H:$H,"="&amp;TRUE,NFs!$B:$B,"&gt;="&amp;Tabela1[[#This Row],[mes]],NFs!$B:$B,"&lt;"&amp;ResumoMensal!A32)</f>
        <v>0</v>
      </c>
      <c r="L31" s="2">
        <f>Tabela1[[#This Row],[Total]]*$B$3</f>
        <v>0</v>
      </c>
      <c r="M31" s="2">
        <f>Tabela1[[#This Row],[Cofins]]-Tabela1[[#This Row],[Cofins Ret]]</f>
        <v>0</v>
      </c>
      <c r="N31" s="2">
        <f>SUMIFS(NFs!$F:$F,NFs!$H:$H,"="&amp;TRUE,NFs!$B:$B,"&gt;="&amp;Tabela1[[#This Row],[mes]],NFs!$B:$B,"&lt;"&amp;ResumoMensal!A32)</f>
        <v>0</v>
      </c>
      <c r="O31" s="2">
        <f>Tabela1[[#This Row],[Total]]*$B$4</f>
        <v>0</v>
      </c>
      <c r="P31" s="2">
        <f>Tabela1[[#This Row],[IR]]-Tabela1[[#This Row],[IR ret]]</f>
        <v>0</v>
      </c>
      <c r="Q31" s="2">
        <f>SUMIFS(NFs!$G:$G,NFs!$H:$H,"="&amp;TRUE,NFs!$B:$B,"&gt;="&amp;Tabela1[[#This Row],[mes]],NFs!$B:$B,"&lt;"&amp;ResumoMensal!A32)</f>
        <v>0</v>
      </c>
      <c r="R31" s="2">
        <f>Tabela1[[#This Row],[Total]]*$B$5</f>
        <v>0</v>
      </c>
      <c r="S31" s="2">
        <f>Tabela1[[#This Row],[CSLL]]-Tabela1[[#This Row],[CSLL Ret]]</f>
        <v>0</v>
      </c>
    </row>
    <row r="32" spans="1:19" x14ac:dyDescent="0.25">
      <c r="A32" s="9">
        <v>46054</v>
      </c>
      <c r="B32" s="2">
        <f>SUMIFS(NFs!$C:$C,NFs!$H:$H,"="&amp;TRUE,NFs!$B:$B,"&gt;="&amp;Tabela1[[#This Row],[mes]],NFs!$B:$B,"&lt;"&amp;ResumoMensal!A33)</f>
        <v>0</v>
      </c>
      <c r="G32" s="2">
        <f>SUM(Tabela1[[#This Row],[Nfs]:[Aluguel]])</f>
        <v>0</v>
      </c>
      <c r="H32" s="2">
        <f>SUMIFS(NFs!$D:$D,NFs!$H:$H,"="&amp;TRUE,NFs!$B:$B,"&gt;="&amp;Tabela1[[#This Row],[mes]],NFs!$B:$B,"&lt;"&amp;ResumoMensal!A33)</f>
        <v>0</v>
      </c>
      <c r="I32" s="2">
        <f>Tabela1[[#This Row],[Total]]*$B$2</f>
        <v>0</v>
      </c>
      <c r="J32" s="2">
        <f>Tabela1[[#This Row],[PIS]]-Tabela1[[#This Row],[Pis Ret]]</f>
        <v>0</v>
      </c>
      <c r="K32" s="2">
        <f>SUMIFS(NFs!$E:$E,NFs!$H:$H,"="&amp;TRUE,NFs!$B:$B,"&gt;="&amp;Tabela1[[#This Row],[mes]],NFs!$B:$B,"&lt;"&amp;ResumoMensal!A33)</f>
        <v>0</v>
      </c>
      <c r="L32" s="2">
        <f>Tabela1[[#This Row],[Total]]*$B$3</f>
        <v>0</v>
      </c>
      <c r="M32" s="2">
        <f>Tabela1[[#This Row],[Cofins]]-Tabela1[[#This Row],[Cofins Ret]]</f>
        <v>0</v>
      </c>
      <c r="N32" s="2">
        <f>SUMIFS(NFs!$F:$F,NFs!$H:$H,"="&amp;TRUE,NFs!$B:$B,"&gt;="&amp;Tabela1[[#This Row],[mes]],NFs!$B:$B,"&lt;"&amp;ResumoMensal!A33)</f>
        <v>0</v>
      </c>
      <c r="O32" s="2">
        <f>Tabela1[[#This Row],[Total]]*$B$4</f>
        <v>0</v>
      </c>
      <c r="P32" s="2">
        <f>Tabela1[[#This Row],[IR]]-Tabela1[[#This Row],[IR ret]]</f>
        <v>0</v>
      </c>
      <c r="Q32" s="2">
        <f>SUMIFS(NFs!$G:$G,NFs!$H:$H,"="&amp;TRUE,NFs!$B:$B,"&gt;="&amp;Tabela1[[#This Row],[mes]],NFs!$B:$B,"&lt;"&amp;ResumoMensal!A33)</f>
        <v>0</v>
      </c>
      <c r="R32" s="2">
        <f>Tabela1[[#This Row],[Total]]*$B$5</f>
        <v>0</v>
      </c>
      <c r="S32" s="2">
        <f>Tabela1[[#This Row],[CSLL]]-Tabela1[[#This Row],[CSLL Ret]]</f>
        <v>0</v>
      </c>
    </row>
    <row r="33" spans="1:19" x14ac:dyDescent="0.25">
      <c r="A33" s="9">
        <v>46082</v>
      </c>
      <c r="B33" s="2">
        <f>SUMIFS(NFs!$C:$C,NFs!$H:$H,"="&amp;TRUE,NFs!$B:$B,"&gt;="&amp;Tabela1[[#This Row],[mes]],NFs!$B:$B,"&lt;"&amp;ResumoMensal!A34)</f>
        <v>0</v>
      </c>
      <c r="G33" s="2">
        <f>SUM(Tabela1[[#This Row],[Nfs]:[Aluguel]])</f>
        <v>0</v>
      </c>
      <c r="H33" s="2">
        <f>SUMIFS(NFs!$D:$D,NFs!$H:$H,"="&amp;TRUE,NFs!$B:$B,"&gt;="&amp;Tabela1[[#This Row],[mes]],NFs!$B:$B,"&lt;"&amp;ResumoMensal!A34)</f>
        <v>0</v>
      </c>
      <c r="I33" s="2">
        <f>Tabela1[[#This Row],[Total]]*$B$2</f>
        <v>0</v>
      </c>
      <c r="J33" s="2">
        <f>Tabela1[[#This Row],[PIS]]-Tabela1[[#This Row],[Pis Ret]]</f>
        <v>0</v>
      </c>
      <c r="K33" s="2">
        <f>SUMIFS(NFs!$E:$E,NFs!$H:$H,"="&amp;TRUE,NFs!$B:$B,"&gt;="&amp;Tabela1[[#This Row],[mes]],NFs!$B:$B,"&lt;"&amp;ResumoMensal!A34)</f>
        <v>0</v>
      </c>
      <c r="L33" s="2">
        <f>Tabela1[[#This Row],[Total]]*$B$3</f>
        <v>0</v>
      </c>
      <c r="M33" s="2">
        <f>Tabela1[[#This Row],[Cofins]]-Tabela1[[#This Row],[Cofins Ret]]</f>
        <v>0</v>
      </c>
      <c r="N33" s="2">
        <f>SUMIFS(NFs!$F:$F,NFs!$H:$H,"="&amp;TRUE,NFs!$B:$B,"&gt;="&amp;Tabela1[[#This Row],[mes]],NFs!$B:$B,"&lt;"&amp;ResumoMensal!A34)</f>
        <v>0</v>
      </c>
      <c r="O33" s="2">
        <f>Tabela1[[#This Row],[Total]]*$B$4</f>
        <v>0</v>
      </c>
      <c r="P33" s="2">
        <f>Tabela1[[#This Row],[IR]]-Tabela1[[#This Row],[IR ret]]</f>
        <v>0</v>
      </c>
      <c r="Q33" s="2">
        <f>SUMIFS(NFs!$G:$G,NFs!$H:$H,"="&amp;TRUE,NFs!$B:$B,"&gt;="&amp;Tabela1[[#This Row],[mes]],NFs!$B:$B,"&lt;"&amp;ResumoMensal!A34)</f>
        <v>0</v>
      </c>
      <c r="R33" s="2">
        <f>Tabela1[[#This Row],[Total]]*$B$5</f>
        <v>0</v>
      </c>
      <c r="S33" s="2">
        <f>Tabela1[[#This Row],[CSLL]]-Tabela1[[#This Row],[CSLL Ret]]</f>
        <v>0</v>
      </c>
    </row>
    <row r="34" spans="1:19" x14ac:dyDescent="0.25">
      <c r="A34" s="9">
        <v>46113</v>
      </c>
      <c r="B34" s="2">
        <f>SUMIFS(NFs!$C:$C,NFs!$H:$H,"="&amp;TRUE,NFs!$B:$B,"&gt;="&amp;Tabela1[[#This Row],[mes]],NFs!$B:$B,"&lt;"&amp;ResumoMensal!A35)</f>
        <v>0</v>
      </c>
      <c r="G34" s="2">
        <f>SUM(Tabela1[[#This Row],[Nfs]:[Aluguel]])</f>
        <v>0</v>
      </c>
      <c r="H34" s="2">
        <f>SUMIFS(NFs!$D:$D,NFs!$H:$H,"="&amp;TRUE,NFs!$B:$B,"&gt;="&amp;Tabela1[[#This Row],[mes]],NFs!$B:$B,"&lt;"&amp;ResumoMensal!A35)</f>
        <v>0</v>
      </c>
      <c r="I34" s="2">
        <f>Tabela1[[#This Row],[Total]]*$B$2</f>
        <v>0</v>
      </c>
      <c r="J34" s="2">
        <f>Tabela1[[#This Row],[PIS]]-Tabela1[[#This Row],[Pis Ret]]</f>
        <v>0</v>
      </c>
      <c r="K34" s="2">
        <f>SUMIFS(NFs!$E:$E,NFs!$H:$H,"="&amp;TRUE,NFs!$B:$B,"&gt;="&amp;Tabela1[[#This Row],[mes]],NFs!$B:$B,"&lt;"&amp;ResumoMensal!A35)</f>
        <v>0</v>
      </c>
      <c r="L34" s="2">
        <f>Tabela1[[#This Row],[Total]]*$B$3</f>
        <v>0</v>
      </c>
      <c r="M34" s="2">
        <f>Tabela1[[#This Row],[Cofins]]-Tabela1[[#This Row],[Cofins Ret]]</f>
        <v>0</v>
      </c>
      <c r="N34" s="2">
        <f>SUMIFS(NFs!$F:$F,NFs!$H:$H,"="&amp;TRUE,NFs!$B:$B,"&gt;="&amp;Tabela1[[#This Row],[mes]],NFs!$B:$B,"&lt;"&amp;ResumoMensal!A35)</f>
        <v>0</v>
      </c>
      <c r="O34" s="2">
        <f>Tabela1[[#This Row],[Total]]*$B$4</f>
        <v>0</v>
      </c>
      <c r="P34" s="2">
        <f>Tabela1[[#This Row],[IR]]-Tabela1[[#This Row],[IR ret]]</f>
        <v>0</v>
      </c>
      <c r="Q34" s="2">
        <f>SUMIFS(NFs!$G:$G,NFs!$H:$H,"="&amp;TRUE,NFs!$B:$B,"&gt;="&amp;Tabela1[[#This Row],[mes]],NFs!$B:$B,"&lt;"&amp;ResumoMensal!A35)</f>
        <v>0</v>
      </c>
      <c r="R34" s="2">
        <f>Tabela1[[#This Row],[Total]]*$B$5</f>
        <v>0</v>
      </c>
      <c r="S34" s="2">
        <f>Tabela1[[#This Row],[CSLL]]-Tabela1[[#This Row],[CSLL Ret]]</f>
        <v>0</v>
      </c>
    </row>
    <row r="35" spans="1:19" x14ac:dyDescent="0.25">
      <c r="A35" s="9">
        <v>46143</v>
      </c>
      <c r="B35" s="2">
        <f>SUMIFS(NFs!$C:$C,NFs!$H:$H,"="&amp;TRUE,NFs!$B:$B,"&gt;="&amp;Tabela1[[#This Row],[mes]],NFs!$B:$B,"&lt;"&amp;ResumoMensal!A36)</f>
        <v>0</v>
      </c>
      <c r="G35" s="2">
        <f>SUM(Tabela1[[#This Row],[Nfs]:[Aluguel]])</f>
        <v>0</v>
      </c>
      <c r="H35" s="2">
        <f>SUMIFS(NFs!$D:$D,NFs!$H:$H,"="&amp;TRUE,NFs!$B:$B,"&gt;="&amp;Tabela1[[#This Row],[mes]],NFs!$B:$B,"&lt;"&amp;ResumoMensal!A36)</f>
        <v>0</v>
      </c>
      <c r="I35" s="2">
        <f>Tabela1[[#This Row],[Total]]*$B$2</f>
        <v>0</v>
      </c>
      <c r="J35" s="2">
        <f>Tabela1[[#This Row],[PIS]]-Tabela1[[#This Row],[Pis Ret]]</f>
        <v>0</v>
      </c>
      <c r="K35" s="2">
        <f>SUMIFS(NFs!$E:$E,NFs!$H:$H,"="&amp;TRUE,NFs!$B:$B,"&gt;="&amp;Tabela1[[#This Row],[mes]],NFs!$B:$B,"&lt;"&amp;ResumoMensal!A36)</f>
        <v>0</v>
      </c>
      <c r="L35" s="2">
        <f>Tabela1[[#This Row],[Total]]*$B$3</f>
        <v>0</v>
      </c>
      <c r="M35" s="2">
        <f>Tabela1[[#This Row],[Cofins]]-Tabela1[[#This Row],[Cofins Ret]]</f>
        <v>0</v>
      </c>
      <c r="N35" s="2">
        <f>SUMIFS(NFs!$F:$F,NFs!$H:$H,"="&amp;TRUE,NFs!$B:$B,"&gt;="&amp;Tabela1[[#This Row],[mes]],NFs!$B:$B,"&lt;"&amp;ResumoMensal!A36)</f>
        <v>0</v>
      </c>
      <c r="O35" s="2">
        <f>Tabela1[[#This Row],[Total]]*$B$4</f>
        <v>0</v>
      </c>
      <c r="P35" s="2">
        <f>Tabela1[[#This Row],[IR]]-Tabela1[[#This Row],[IR ret]]</f>
        <v>0</v>
      </c>
      <c r="Q35" s="2">
        <f>SUMIFS(NFs!$G:$G,NFs!$H:$H,"="&amp;TRUE,NFs!$B:$B,"&gt;="&amp;Tabela1[[#This Row],[mes]],NFs!$B:$B,"&lt;"&amp;ResumoMensal!A36)</f>
        <v>0</v>
      </c>
      <c r="R35" s="2">
        <f>Tabela1[[#This Row],[Total]]*$B$5</f>
        <v>0</v>
      </c>
      <c r="S35" s="2">
        <f>Tabela1[[#This Row],[CSLL]]-Tabela1[[#This Row],[CSLL Ret]]</f>
        <v>0</v>
      </c>
    </row>
    <row r="36" spans="1:19" x14ac:dyDescent="0.25">
      <c r="A36" s="9">
        <v>46174</v>
      </c>
      <c r="B36" s="2">
        <f>SUMIFS(NFs!$C:$C,NFs!$H:$H,"="&amp;TRUE,NFs!$B:$B,"&gt;="&amp;Tabela1[[#This Row],[mes]],NFs!$B:$B,"&lt;"&amp;ResumoMensal!A37)</f>
        <v>0</v>
      </c>
      <c r="G36" s="2">
        <f>SUM(Tabela1[[#This Row],[Nfs]:[Aluguel]])</f>
        <v>0</v>
      </c>
      <c r="H36" s="2">
        <f>SUMIFS(NFs!$D:$D,NFs!$H:$H,"="&amp;TRUE,NFs!$B:$B,"&gt;="&amp;Tabela1[[#This Row],[mes]],NFs!$B:$B,"&lt;"&amp;ResumoMensal!A37)</f>
        <v>0</v>
      </c>
      <c r="I36" s="2">
        <f>Tabela1[[#This Row],[Total]]*$B$2</f>
        <v>0</v>
      </c>
      <c r="J36" s="2">
        <f>Tabela1[[#This Row],[PIS]]-Tabela1[[#This Row],[Pis Ret]]</f>
        <v>0</v>
      </c>
      <c r="K36" s="2">
        <f>SUMIFS(NFs!$E:$E,NFs!$H:$H,"="&amp;TRUE,NFs!$B:$B,"&gt;="&amp;Tabela1[[#This Row],[mes]],NFs!$B:$B,"&lt;"&amp;ResumoMensal!A37)</f>
        <v>0</v>
      </c>
      <c r="L36" s="2">
        <f>Tabela1[[#This Row],[Total]]*$B$3</f>
        <v>0</v>
      </c>
      <c r="M36" s="2">
        <f>Tabela1[[#This Row],[Cofins]]-Tabela1[[#This Row],[Cofins Ret]]</f>
        <v>0</v>
      </c>
      <c r="N36" s="2">
        <f>SUMIFS(NFs!$F:$F,NFs!$H:$H,"="&amp;TRUE,NFs!$B:$B,"&gt;="&amp;Tabela1[[#This Row],[mes]],NFs!$B:$B,"&lt;"&amp;ResumoMensal!A37)</f>
        <v>0</v>
      </c>
      <c r="O36" s="2">
        <f>Tabela1[[#This Row],[Total]]*$B$4</f>
        <v>0</v>
      </c>
      <c r="P36" s="2">
        <f>Tabela1[[#This Row],[IR]]-Tabela1[[#This Row],[IR ret]]</f>
        <v>0</v>
      </c>
      <c r="Q36" s="2">
        <f>SUMIFS(NFs!$G:$G,NFs!$H:$H,"="&amp;TRUE,NFs!$B:$B,"&gt;="&amp;Tabela1[[#This Row],[mes]],NFs!$B:$B,"&lt;"&amp;ResumoMensal!A37)</f>
        <v>0</v>
      </c>
      <c r="R36" s="2">
        <f>Tabela1[[#This Row],[Total]]*$B$5</f>
        <v>0</v>
      </c>
      <c r="S36" s="2">
        <f>Tabela1[[#This Row],[CSLL]]-Tabela1[[#This Row],[CSLL Ret]]</f>
        <v>0</v>
      </c>
    </row>
    <row r="37" spans="1:19" x14ac:dyDescent="0.25">
      <c r="A37" s="9">
        <v>46204</v>
      </c>
      <c r="B37" s="2">
        <f>SUMIFS(NFs!$C:$C,NFs!$H:$H,"="&amp;TRUE,NFs!$B:$B,"&gt;="&amp;Tabela1[[#This Row],[mes]],NFs!$B:$B,"&lt;"&amp;ResumoMensal!A38)</f>
        <v>0</v>
      </c>
      <c r="G37" s="2">
        <f>SUM(Tabela1[[#This Row],[Nfs]:[Aluguel]])</f>
        <v>0</v>
      </c>
      <c r="H37" s="2">
        <f>SUMIFS(NFs!$D:$D,NFs!$H:$H,"="&amp;TRUE,NFs!$B:$B,"&gt;="&amp;Tabela1[[#This Row],[mes]],NFs!$B:$B,"&lt;"&amp;ResumoMensal!A38)</f>
        <v>0</v>
      </c>
      <c r="I37" s="2">
        <f>Tabela1[[#This Row],[Total]]*$B$2</f>
        <v>0</v>
      </c>
      <c r="J37" s="2">
        <f>Tabela1[[#This Row],[PIS]]-Tabela1[[#This Row],[Pis Ret]]</f>
        <v>0</v>
      </c>
      <c r="K37" s="2">
        <f>SUMIFS(NFs!$E:$E,NFs!$H:$H,"="&amp;TRUE,NFs!$B:$B,"&gt;="&amp;Tabela1[[#This Row],[mes]],NFs!$B:$B,"&lt;"&amp;ResumoMensal!A38)</f>
        <v>0</v>
      </c>
      <c r="L37" s="2">
        <f>Tabela1[[#This Row],[Total]]*$B$3</f>
        <v>0</v>
      </c>
      <c r="M37" s="2">
        <f>Tabela1[[#This Row],[Cofins]]-Tabela1[[#This Row],[Cofins Ret]]</f>
        <v>0</v>
      </c>
      <c r="N37" s="2">
        <f>SUMIFS(NFs!$F:$F,NFs!$H:$H,"="&amp;TRUE,NFs!$B:$B,"&gt;="&amp;Tabela1[[#This Row],[mes]],NFs!$B:$B,"&lt;"&amp;ResumoMensal!A38)</f>
        <v>0</v>
      </c>
      <c r="O37" s="2">
        <f>Tabela1[[#This Row],[Total]]*$B$4</f>
        <v>0</v>
      </c>
      <c r="P37" s="2">
        <f>Tabela1[[#This Row],[IR]]-Tabela1[[#This Row],[IR ret]]</f>
        <v>0</v>
      </c>
      <c r="Q37" s="2">
        <f>SUMIFS(NFs!$G:$G,NFs!$H:$H,"="&amp;TRUE,NFs!$B:$B,"&gt;="&amp;Tabela1[[#This Row],[mes]],NFs!$B:$B,"&lt;"&amp;ResumoMensal!A38)</f>
        <v>0</v>
      </c>
      <c r="R37" s="2">
        <f>Tabela1[[#This Row],[Total]]*$B$5</f>
        <v>0</v>
      </c>
      <c r="S37" s="2">
        <f>Tabela1[[#This Row],[CSLL]]-Tabela1[[#This Row],[CSLL Ret]]</f>
        <v>0</v>
      </c>
    </row>
    <row r="38" spans="1:19" x14ac:dyDescent="0.25">
      <c r="A38" s="9">
        <v>46235</v>
      </c>
      <c r="B38" s="2">
        <f>SUMIFS(NFs!$C:$C,NFs!$H:$H,"="&amp;TRUE,NFs!$B:$B,"&gt;="&amp;Tabela1[[#This Row],[mes]],NFs!$B:$B,"&lt;"&amp;ResumoMensal!A39)</f>
        <v>0</v>
      </c>
      <c r="G38" s="2">
        <f>SUM(Tabela1[[#This Row],[Nfs]:[Aluguel]])</f>
        <v>0</v>
      </c>
      <c r="H38" s="2">
        <f>SUMIFS(NFs!$D:$D,NFs!$H:$H,"="&amp;TRUE,NFs!$B:$B,"&gt;="&amp;Tabela1[[#This Row],[mes]],NFs!$B:$B,"&lt;"&amp;ResumoMensal!A39)</f>
        <v>0</v>
      </c>
      <c r="I38" s="2">
        <f>Tabela1[[#This Row],[Total]]*$B$2</f>
        <v>0</v>
      </c>
      <c r="J38" s="2">
        <f>Tabela1[[#This Row],[PIS]]-Tabela1[[#This Row],[Pis Ret]]</f>
        <v>0</v>
      </c>
      <c r="K38" s="2">
        <f>SUMIFS(NFs!$E:$E,NFs!$H:$H,"="&amp;TRUE,NFs!$B:$B,"&gt;="&amp;Tabela1[[#This Row],[mes]],NFs!$B:$B,"&lt;"&amp;ResumoMensal!A39)</f>
        <v>0</v>
      </c>
      <c r="L38" s="2">
        <f>Tabela1[[#This Row],[Total]]*$B$3</f>
        <v>0</v>
      </c>
      <c r="M38" s="2">
        <f>Tabela1[[#This Row],[Cofins]]-Tabela1[[#This Row],[Cofins Ret]]</f>
        <v>0</v>
      </c>
      <c r="N38" s="2">
        <f>SUMIFS(NFs!$F:$F,NFs!$H:$H,"="&amp;TRUE,NFs!$B:$B,"&gt;="&amp;Tabela1[[#This Row],[mes]],NFs!$B:$B,"&lt;"&amp;ResumoMensal!A39)</f>
        <v>0</v>
      </c>
      <c r="O38" s="2">
        <f>Tabela1[[#This Row],[Total]]*$B$4</f>
        <v>0</v>
      </c>
      <c r="P38" s="2">
        <f>Tabela1[[#This Row],[IR]]-Tabela1[[#This Row],[IR ret]]</f>
        <v>0</v>
      </c>
      <c r="Q38" s="2">
        <f>SUMIFS(NFs!$G:$G,NFs!$H:$H,"="&amp;TRUE,NFs!$B:$B,"&gt;="&amp;Tabela1[[#This Row],[mes]],NFs!$B:$B,"&lt;"&amp;ResumoMensal!A39)</f>
        <v>0</v>
      </c>
      <c r="R38" s="2">
        <f>Tabela1[[#This Row],[Total]]*$B$5</f>
        <v>0</v>
      </c>
      <c r="S38" s="2">
        <f>Tabela1[[#This Row],[CSLL]]-Tabela1[[#This Row],[CSLL Ret]]</f>
        <v>0</v>
      </c>
    </row>
    <row r="39" spans="1:19" x14ac:dyDescent="0.25">
      <c r="A39" s="9">
        <v>46266</v>
      </c>
      <c r="B39" s="2">
        <f>SUMIFS(NFs!$C:$C,NFs!$H:$H,"="&amp;TRUE,NFs!$B:$B,"&gt;="&amp;Tabela1[[#This Row],[mes]],NFs!$B:$B,"&lt;"&amp;ResumoMensal!A40)</f>
        <v>0</v>
      </c>
      <c r="G39" s="2">
        <f>SUM(Tabela1[[#This Row],[Nfs]:[Aluguel]])</f>
        <v>0</v>
      </c>
      <c r="H39" s="2">
        <f>SUMIFS(NFs!$D:$D,NFs!$H:$H,"="&amp;TRUE,NFs!$B:$B,"&gt;="&amp;Tabela1[[#This Row],[mes]],NFs!$B:$B,"&lt;"&amp;ResumoMensal!A40)</f>
        <v>0</v>
      </c>
      <c r="I39" s="2">
        <f>Tabela1[[#This Row],[Total]]*$B$2</f>
        <v>0</v>
      </c>
      <c r="J39" s="2">
        <f>Tabela1[[#This Row],[PIS]]-Tabela1[[#This Row],[Pis Ret]]</f>
        <v>0</v>
      </c>
      <c r="K39" s="2">
        <f>SUMIFS(NFs!$E:$E,NFs!$H:$H,"="&amp;TRUE,NFs!$B:$B,"&gt;="&amp;Tabela1[[#This Row],[mes]],NFs!$B:$B,"&lt;"&amp;ResumoMensal!A40)</f>
        <v>0</v>
      </c>
      <c r="L39" s="2">
        <f>Tabela1[[#This Row],[Total]]*$B$3</f>
        <v>0</v>
      </c>
      <c r="M39" s="2">
        <f>Tabela1[[#This Row],[Cofins]]-Tabela1[[#This Row],[Cofins Ret]]</f>
        <v>0</v>
      </c>
      <c r="N39" s="2">
        <f>SUMIFS(NFs!$F:$F,NFs!$H:$H,"="&amp;TRUE,NFs!$B:$B,"&gt;="&amp;Tabela1[[#This Row],[mes]],NFs!$B:$B,"&lt;"&amp;ResumoMensal!A40)</f>
        <v>0</v>
      </c>
      <c r="O39" s="2">
        <f>Tabela1[[#This Row],[Total]]*$B$4</f>
        <v>0</v>
      </c>
      <c r="P39" s="2">
        <f>Tabela1[[#This Row],[IR]]-Tabela1[[#This Row],[IR ret]]</f>
        <v>0</v>
      </c>
      <c r="Q39" s="2">
        <f>SUMIFS(NFs!$G:$G,NFs!$H:$H,"="&amp;TRUE,NFs!$B:$B,"&gt;="&amp;Tabela1[[#This Row],[mes]],NFs!$B:$B,"&lt;"&amp;ResumoMensal!A40)</f>
        <v>0</v>
      </c>
      <c r="R39" s="2">
        <f>Tabela1[[#This Row],[Total]]*$B$5</f>
        <v>0</v>
      </c>
      <c r="S39" s="2">
        <f>Tabela1[[#This Row],[CSLL]]-Tabela1[[#This Row],[CSLL Ret]]</f>
        <v>0</v>
      </c>
    </row>
    <row r="40" spans="1:19" x14ac:dyDescent="0.25">
      <c r="A40" s="9">
        <v>46296</v>
      </c>
      <c r="B40" s="2">
        <f>SUMIFS(NFs!$C:$C,NFs!$H:$H,"="&amp;TRUE,NFs!$B:$B,"&gt;="&amp;Tabela1[[#This Row],[mes]],NFs!$B:$B,"&lt;"&amp;ResumoMensal!A41)</f>
        <v>0</v>
      </c>
      <c r="G40" s="2">
        <f>SUM(Tabela1[[#This Row],[Nfs]:[Aluguel]])</f>
        <v>0</v>
      </c>
      <c r="H40" s="2">
        <f>SUMIFS(NFs!$D:$D,NFs!$H:$H,"="&amp;TRUE,NFs!$B:$B,"&gt;="&amp;Tabela1[[#This Row],[mes]],NFs!$B:$B,"&lt;"&amp;ResumoMensal!A41)</f>
        <v>0</v>
      </c>
      <c r="I40" s="2">
        <f>Tabela1[[#This Row],[Total]]*$B$2</f>
        <v>0</v>
      </c>
      <c r="J40" s="2">
        <f>Tabela1[[#This Row],[PIS]]-Tabela1[[#This Row],[Pis Ret]]</f>
        <v>0</v>
      </c>
      <c r="K40" s="2">
        <f>SUMIFS(NFs!$E:$E,NFs!$H:$H,"="&amp;TRUE,NFs!$B:$B,"&gt;="&amp;Tabela1[[#This Row],[mes]],NFs!$B:$B,"&lt;"&amp;ResumoMensal!A41)</f>
        <v>0</v>
      </c>
      <c r="L40" s="2">
        <f>Tabela1[[#This Row],[Total]]*$B$3</f>
        <v>0</v>
      </c>
      <c r="M40" s="2">
        <f>Tabela1[[#This Row],[Cofins]]-Tabela1[[#This Row],[Cofins Ret]]</f>
        <v>0</v>
      </c>
      <c r="N40" s="2">
        <f>SUMIFS(NFs!$F:$F,NFs!$H:$H,"="&amp;TRUE,NFs!$B:$B,"&gt;="&amp;Tabela1[[#This Row],[mes]],NFs!$B:$B,"&lt;"&amp;ResumoMensal!A41)</f>
        <v>0</v>
      </c>
      <c r="O40" s="2">
        <f>Tabela1[[#This Row],[Total]]*$B$4</f>
        <v>0</v>
      </c>
      <c r="P40" s="2">
        <f>Tabela1[[#This Row],[IR]]-Tabela1[[#This Row],[IR ret]]</f>
        <v>0</v>
      </c>
      <c r="Q40" s="2">
        <f>SUMIFS(NFs!$G:$G,NFs!$H:$H,"="&amp;TRUE,NFs!$B:$B,"&gt;="&amp;Tabela1[[#This Row],[mes]],NFs!$B:$B,"&lt;"&amp;ResumoMensal!A41)</f>
        <v>0</v>
      </c>
      <c r="R40" s="2">
        <f>Tabela1[[#This Row],[Total]]*$B$5</f>
        <v>0</v>
      </c>
      <c r="S40" s="2">
        <f>Tabela1[[#This Row],[CSLL]]-Tabela1[[#This Row],[CSLL Ret]]</f>
        <v>0</v>
      </c>
    </row>
    <row r="41" spans="1:19" x14ac:dyDescent="0.25">
      <c r="A41" s="9">
        <v>46327</v>
      </c>
      <c r="B41" s="2">
        <f>SUMIFS(NFs!$C:$C,NFs!$H:$H,"="&amp;TRUE,NFs!$B:$B,"&gt;="&amp;Tabela1[[#This Row],[mes]],NFs!$B:$B,"&lt;"&amp;ResumoMensal!A42)</f>
        <v>0</v>
      </c>
      <c r="G41" s="2">
        <f>SUM(Tabela1[[#This Row],[Nfs]:[Aluguel]])</f>
        <v>0</v>
      </c>
      <c r="H41" s="2">
        <f>SUMIFS(NFs!$D:$D,NFs!$H:$H,"="&amp;TRUE,NFs!$B:$B,"&gt;="&amp;Tabela1[[#This Row],[mes]],NFs!$B:$B,"&lt;"&amp;ResumoMensal!A42)</f>
        <v>0</v>
      </c>
      <c r="I41" s="2">
        <f>Tabela1[[#This Row],[Total]]*$B$2</f>
        <v>0</v>
      </c>
      <c r="J41" s="2">
        <f>Tabela1[[#This Row],[PIS]]-Tabela1[[#This Row],[Pis Ret]]</f>
        <v>0</v>
      </c>
      <c r="K41" s="2">
        <f>SUMIFS(NFs!$E:$E,NFs!$H:$H,"="&amp;TRUE,NFs!$B:$B,"&gt;="&amp;Tabela1[[#This Row],[mes]],NFs!$B:$B,"&lt;"&amp;ResumoMensal!A42)</f>
        <v>0</v>
      </c>
      <c r="L41" s="2">
        <f>Tabela1[[#This Row],[Total]]*$B$3</f>
        <v>0</v>
      </c>
      <c r="M41" s="2">
        <f>Tabela1[[#This Row],[Cofins]]-Tabela1[[#This Row],[Cofins Ret]]</f>
        <v>0</v>
      </c>
      <c r="N41" s="2">
        <f>SUMIFS(NFs!$F:$F,NFs!$H:$H,"="&amp;TRUE,NFs!$B:$B,"&gt;="&amp;Tabela1[[#This Row],[mes]],NFs!$B:$B,"&lt;"&amp;ResumoMensal!A42)</f>
        <v>0</v>
      </c>
      <c r="O41" s="2">
        <f>Tabela1[[#This Row],[Total]]*$B$4</f>
        <v>0</v>
      </c>
      <c r="P41" s="2">
        <f>Tabela1[[#This Row],[IR]]-Tabela1[[#This Row],[IR ret]]</f>
        <v>0</v>
      </c>
      <c r="Q41" s="2">
        <f>SUMIFS(NFs!$G:$G,NFs!$H:$H,"="&amp;TRUE,NFs!$B:$B,"&gt;="&amp;Tabela1[[#This Row],[mes]],NFs!$B:$B,"&lt;"&amp;ResumoMensal!A42)</f>
        <v>0</v>
      </c>
      <c r="R41" s="2">
        <f>Tabela1[[#This Row],[Total]]*$B$5</f>
        <v>0</v>
      </c>
      <c r="S41" s="2">
        <f>Tabela1[[#This Row],[CSLL]]-Tabela1[[#This Row],[CSLL Ret]]</f>
        <v>0</v>
      </c>
    </row>
    <row r="42" spans="1:19" x14ac:dyDescent="0.25">
      <c r="A42" s="9">
        <v>46357</v>
      </c>
      <c r="B42" s="2">
        <f>SUMIFS(NFs!$C:$C,NFs!$H:$H,"="&amp;TRUE,NFs!$B:$B,"&gt;="&amp;Tabela1[[#This Row],[mes]],NFs!$B:$B,"&lt;"&amp;ResumoMensal!A43)</f>
        <v>0</v>
      </c>
      <c r="G42" s="2">
        <f>SUM(Tabela1[[#This Row],[Nfs]:[Aluguel]])</f>
        <v>0</v>
      </c>
      <c r="H42" s="2">
        <f>SUMIFS(NFs!$D:$D,NFs!$H:$H,"="&amp;TRUE,NFs!$B:$B,"&gt;="&amp;Tabela1[[#This Row],[mes]],NFs!$B:$B,"&lt;"&amp;ResumoMensal!A43)</f>
        <v>0</v>
      </c>
      <c r="I42" s="2">
        <f>Tabela1[[#This Row],[Total]]*$B$2</f>
        <v>0</v>
      </c>
      <c r="J42" s="2">
        <f>Tabela1[[#This Row],[PIS]]-Tabela1[[#This Row],[Pis Ret]]</f>
        <v>0</v>
      </c>
      <c r="K42" s="2">
        <f>SUMIFS(NFs!$E:$E,NFs!$H:$H,"="&amp;TRUE,NFs!$B:$B,"&gt;="&amp;Tabela1[[#This Row],[mes]],NFs!$B:$B,"&lt;"&amp;ResumoMensal!A43)</f>
        <v>0</v>
      </c>
      <c r="L42" s="2">
        <f>Tabela1[[#This Row],[Total]]*$B$3</f>
        <v>0</v>
      </c>
      <c r="M42" s="2">
        <f>Tabela1[[#This Row],[Cofins]]-Tabela1[[#This Row],[Cofins Ret]]</f>
        <v>0</v>
      </c>
      <c r="N42" s="2">
        <f>SUMIFS(NFs!$F:$F,NFs!$H:$H,"="&amp;TRUE,NFs!$B:$B,"&gt;="&amp;Tabela1[[#This Row],[mes]],NFs!$B:$B,"&lt;"&amp;ResumoMensal!A43)</f>
        <v>0</v>
      </c>
      <c r="O42" s="2">
        <f>Tabela1[[#This Row],[Total]]*$B$4</f>
        <v>0</v>
      </c>
      <c r="P42" s="2">
        <f>Tabela1[[#This Row],[IR]]-Tabela1[[#This Row],[IR ret]]</f>
        <v>0</v>
      </c>
      <c r="Q42" s="2">
        <f>SUMIFS(NFs!$G:$G,NFs!$H:$H,"="&amp;TRUE,NFs!$B:$B,"&gt;="&amp;Tabela1[[#This Row],[mes]],NFs!$B:$B,"&lt;"&amp;ResumoMensal!A43)</f>
        <v>0</v>
      </c>
      <c r="R42" s="2">
        <f>Tabela1[[#This Row],[Total]]*$B$5</f>
        <v>0</v>
      </c>
      <c r="S42" s="2">
        <f>Tabela1[[#This Row],[CSLL]]-Tabela1[[#This Row],[CSLL Ret]]</f>
        <v>0</v>
      </c>
    </row>
    <row r="43" spans="1:19" x14ac:dyDescent="0.25">
      <c r="A43" s="9">
        <v>46388</v>
      </c>
      <c r="B43" s="2">
        <f>SUMIFS(NFs!$C:$C,NFs!$H:$H,"="&amp;TRUE,NFs!$B:$B,"&gt;="&amp;Tabela1[[#This Row],[mes]],NFs!$B:$B,"&lt;"&amp;ResumoMensal!A44)</f>
        <v>0</v>
      </c>
      <c r="G43" s="2">
        <f>SUM(Tabela1[[#This Row],[Nfs]:[Aluguel]])</f>
        <v>0</v>
      </c>
      <c r="H43" s="2">
        <f>SUMIFS(NFs!$D:$D,NFs!$H:$H,"="&amp;TRUE,NFs!$B:$B,"&gt;="&amp;Tabela1[[#This Row],[mes]],NFs!$B:$B,"&lt;"&amp;ResumoMensal!A44)</f>
        <v>0</v>
      </c>
      <c r="I43" s="2">
        <f>Tabela1[[#This Row],[Total]]*$B$2</f>
        <v>0</v>
      </c>
      <c r="J43" s="2">
        <f>Tabela1[[#This Row],[PIS]]-Tabela1[[#This Row],[Pis Ret]]</f>
        <v>0</v>
      </c>
      <c r="K43" s="2">
        <f>SUMIFS(NFs!$E:$E,NFs!$H:$H,"="&amp;TRUE,NFs!$B:$B,"&gt;="&amp;Tabela1[[#This Row],[mes]],NFs!$B:$B,"&lt;"&amp;ResumoMensal!A44)</f>
        <v>0</v>
      </c>
      <c r="L43" s="2">
        <f>Tabela1[[#This Row],[Total]]*$B$3</f>
        <v>0</v>
      </c>
      <c r="M43" s="2">
        <f>Tabela1[[#This Row],[Cofins]]-Tabela1[[#This Row],[Cofins Ret]]</f>
        <v>0</v>
      </c>
      <c r="N43" s="2">
        <f>SUMIFS(NFs!$F:$F,NFs!$H:$H,"="&amp;TRUE,NFs!$B:$B,"&gt;="&amp;Tabela1[[#This Row],[mes]],NFs!$B:$B,"&lt;"&amp;ResumoMensal!A44)</f>
        <v>0</v>
      </c>
      <c r="O43" s="2">
        <f>Tabela1[[#This Row],[Total]]*$B$4</f>
        <v>0</v>
      </c>
      <c r="P43" s="2">
        <f>Tabela1[[#This Row],[IR]]-Tabela1[[#This Row],[IR ret]]</f>
        <v>0</v>
      </c>
      <c r="Q43" s="2">
        <f>SUMIFS(NFs!$G:$G,NFs!$H:$H,"="&amp;TRUE,NFs!$B:$B,"&gt;="&amp;Tabela1[[#This Row],[mes]],NFs!$B:$B,"&lt;"&amp;ResumoMensal!A44)</f>
        <v>0</v>
      </c>
      <c r="R43" s="2">
        <f>Tabela1[[#This Row],[Total]]*$B$5</f>
        <v>0</v>
      </c>
      <c r="S43" s="2">
        <f>Tabela1[[#This Row],[CSLL]]-Tabela1[[#This Row],[CSLL Ret]]</f>
        <v>0</v>
      </c>
    </row>
    <row r="44" spans="1:19" x14ac:dyDescent="0.25">
      <c r="A44" s="9">
        <v>46419</v>
      </c>
      <c r="B44" s="2">
        <f>SUMIFS(NFs!$C:$C,NFs!$H:$H,"="&amp;TRUE,NFs!$B:$B,"&gt;="&amp;Tabela1[[#This Row],[mes]],NFs!$B:$B,"&lt;"&amp;ResumoMensal!A45)</f>
        <v>0</v>
      </c>
      <c r="G44" s="2">
        <f>SUM(Tabela1[[#This Row],[Nfs]:[Aluguel]])</f>
        <v>0</v>
      </c>
      <c r="H44" s="2">
        <f>SUMIFS(NFs!$D:$D,NFs!$H:$H,"="&amp;TRUE,NFs!$B:$B,"&gt;="&amp;Tabela1[[#This Row],[mes]],NFs!$B:$B,"&lt;"&amp;ResumoMensal!A45)</f>
        <v>0</v>
      </c>
      <c r="I44" s="2">
        <f>Tabela1[[#This Row],[Total]]*$B$2</f>
        <v>0</v>
      </c>
      <c r="J44" s="2">
        <f>Tabela1[[#This Row],[PIS]]-Tabela1[[#This Row],[Pis Ret]]</f>
        <v>0</v>
      </c>
      <c r="K44" s="2">
        <f>SUMIFS(NFs!$E:$E,NFs!$H:$H,"="&amp;TRUE,NFs!$B:$B,"&gt;="&amp;Tabela1[[#This Row],[mes]],NFs!$B:$B,"&lt;"&amp;ResumoMensal!A45)</f>
        <v>0</v>
      </c>
      <c r="L44" s="2">
        <f>Tabela1[[#This Row],[Total]]*$B$3</f>
        <v>0</v>
      </c>
      <c r="M44" s="2">
        <f>Tabela1[[#This Row],[Cofins]]-Tabela1[[#This Row],[Cofins Ret]]</f>
        <v>0</v>
      </c>
      <c r="N44" s="2">
        <f>SUMIFS(NFs!$F:$F,NFs!$H:$H,"="&amp;TRUE,NFs!$B:$B,"&gt;="&amp;Tabela1[[#This Row],[mes]],NFs!$B:$B,"&lt;"&amp;ResumoMensal!A45)</f>
        <v>0</v>
      </c>
      <c r="O44" s="2">
        <f>Tabela1[[#This Row],[Total]]*$B$4</f>
        <v>0</v>
      </c>
      <c r="P44" s="2">
        <f>Tabela1[[#This Row],[IR]]-Tabela1[[#This Row],[IR ret]]</f>
        <v>0</v>
      </c>
      <c r="Q44" s="2">
        <f>SUMIFS(NFs!$G:$G,NFs!$H:$H,"="&amp;TRUE,NFs!$B:$B,"&gt;="&amp;Tabela1[[#This Row],[mes]],NFs!$B:$B,"&lt;"&amp;ResumoMensal!A45)</f>
        <v>0</v>
      </c>
      <c r="R44" s="2">
        <f>Tabela1[[#This Row],[Total]]*$B$5</f>
        <v>0</v>
      </c>
      <c r="S44" s="2">
        <f>Tabela1[[#This Row],[CSLL]]-Tabela1[[#This Row],[CSLL Ret]]</f>
        <v>0</v>
      </c>
    </row>
    <row r="45" spans="1:19" x14ac:dyDescent="0.25">
      <c r="A45" s="9">
        <v>46447</v>
      </c>
      <c r="B45" s="2">
        <f>SUMIFS(NFs!$C:$C,NFs!$H:$H,"="&amp;TRUE,NFs!$B:$B,"&gt;="&amp;Tabela1[[#This Row],[mes]],NFs!$B:$B,"&lt;"&amp;ResumoMensal!A46)</f>
        <v>0</v>
      </c>
      <c r="G45" s="2">
        <f>SUM(Tabela1[[#This Row],[Nfs]:[Aluguel]])</f>
        <v>0</v>
      </c>
      <c r="H45" s="2">
        <f>SUMIFS(NFs!$D:$D,NFs!$H:$H,"="&amp;TRUE,NFs!$B:$B,"&gt;="&amp;Tabela1[[#This Row],[mes]],NFs!$B:$B,"&lt;"&amp;ResumoMensal!A46)</f>
        <v>0</v>
      </c>
      <c r="I45" s="2">
        <f>Tabela1[[#This Row],[Total]]*$B$2</f>
        <v>0</v>
      </c>
      <c r="J45" s="2">
        <f>Tabela1[[#This Row],[PIS]]-Tabela1[[#This Row],[Pis Ret]]</f>
        <v>0</v>
      </c>
      <c r="K45" s="2">
        <f>SUMIFS(NFs!$E:$E,NFs!$H:$H,"="&amp;TRUE,NFs!$B:$B,"&gt;="&amp;Tabela1[[#This Row],[mes]],NFs!$B:$B,"&lt;"&amp;ResumoMensal!A46)</f>
        <v>0</v>
      </c>
      <c r="L45" s="2">
        <f>Tabela1[[#This Row],[Total]]*$B$3</f>
        <v>0</v>
      </c>
      <c r="M45" s="2">
        <f>Tabela1[[#This Row],[Cofins]]-Tabela1[[#This Row],[Cofins Ret]]</f>
        <v>0</v>
      </c>
      <c r="N45" s="2">
        <f>SUMIFS(NFs!$F:$F,NFs!$H:$H,"="&amp;TRUE,NFs!$B:$B,"&gt;="&amp;Tabela1[[#This Row],[mes]],NFs!$B:$B,"&lt;"&amp;ResumoMensal!A46)</f>
        <v>0</v>
      </c>
      <c r="O45" s="2">
        <f>Tabela1[[#This Row],[Total]]*$B$4</f>
        <v>0</v>
      </c>
      <c r="P45" s="2">
        <f>Tabela1[[#This Row],[IR]]-Tabela1[[#This Row],[IR ret]]</f>
        <v>0</v>
      </c>
      <c r="Q45" s="2">
        <f>SUMIFS(NFs!$G:$G,NFs!$H:$H,"="&amp;TRUE,NFs!$B:$B,"&gt;="&amp;Tabela1[[#This Row],[mes]],NFs!$B:$B,"&lt;"&amp;ResumoMensal!A46)</f>
        <v>0</v>
      </c>
      <c r="R45" s="2">
        <f>Tabela1[[#This Row],[Total]]*$B$5</f>
        <v>0</v>
      </c>
      <c r="S45" s="2">
        <f>Tabela1[[#This Row],[CSLL]]-Tabela1[[#This Row],[CSLL Ret]]</f>
        <v>0</v>
      </c>
    </row>
    <row r="46" spans="1:19" x14ac:dyDescent="0.25">
      <c r="A46" s="9">
        <v>46478</v>
      </c>
      <c r="B46" s="2">
        <f>SUMIFS(NFs!$C:$C,NFs!$H:$H,"="&amp;TRUE,NFs!$B:$B,"&gt;="&amp;Tabela1[[#This Row],[mes]],NFs!$B:$B,"&lt;"&amp;ResumoMensal!A47)</f>
        <v>0</v>
      </c>
      <c r="G46" s="2">
        <f>SUM(Tabela1[[#This Row],[Nfs]:[Aluguel]])</f>
        <v>0</v>
      </c>
      <c r="H46" s="2">
        <f>SUMIFS(NFs!$D:$D,NFs!$H:$H,"="&amp;TRUE,NFs!$B:$B,"&gt;="&amp;Tabela1[[#This Row],[mes]],NFs!$B:$B,"&lt;"&amp;ResumoMensal!A47)</f>
        <v>0</v>
      </c>
      <c r="I46" s="2">
        <f>Tabela1[[#This Row],[Total]]*$B$2</f>
        <v>0</v>
      </c>
      <c r="J46" s="2">
        <f>Tabela1[[#This Row],[PIS]]-Tabela1[[#This Row],[Pis Ret]]</f>
        <v>0</v>
      </c>
      <c r="K46" s="2">
        <f>SUMIFS(NFs!$E:$E,NFs!$H:$H,"="&amp;TRUE,NFs!$B:$B,"&gt;="&amp;Tabela1[[#This Row],[mes]],NFs!$B:$B,"&lt;"&amp;ResumoMensal!A47)</f>
        <v>0</v>
      </c>
      <c r="L46" s="2">
        <f>Tabela1[[#This Row],[Total]]*$B$3</f>
        <v>0</v>
      </c>
      <c r="M46" s="2">
        <f>Tabela1[[#This Row],[Cofins]]-Tabela1[[#This Row],[Cofins Ret]]</f>
        <v>0</v>
      </c>
      <c r="N46" s="2">
        <f>SUMIFS(NFs!$F:$F,NFs!$H:$H,"="&amp;TRUE,NFs!$B:$B,"&gt;="&amp;Tabela1[[#This Row],[mes]],NFs!$B:$B,"&lt;"&amp;ResumoMensal!A47)</f>
        <v>0</v>
      </c>
      <c r="O46" s="2">
        <f>Tabela1[[#This Row],[Total]]*$B$4</f>
        <v>0</v>
      </c>
      <c r="P46" s="2">
        <f>Tabela1[[#This Row],[IR]]-Tabela1[[#This Row],[IR ret]]</f>
        <v>0</v>
      </c>
      <c r="Q46" s="2">
        <f>SUMIFS(NFs!$G:$G,NFs!$H:$H,"="&amp;TRUE,NFs!$B:$B,"&gt;="&amp;Tabela1[[#This Row],[mes]],NFs!$B:$B,"&lt;"&amp;ResumoMensal!A47)</f>
        <v>0</v>
      </c>
      <c r="R46" s="2">
        <f>Tabela1[[#This Row],[Total]]*$B$5</f>
        <v>0</v>
      </c>
      <c r="S46" s="2">
        <f>Tabela1[[#This Row],[CSLL]]-Tabela1[[#This Row],[CSLL Ret]]</f>
        <v>0</v>
      </c>
    </row>
    <row r="47" spans="1:19" x14ac:dyDescent="0.25">
      <c r="A47" s="9">
        <v>46508</v>
      </c>
      <c r="B47" s="2">
        <f>SUMIFS(NFs!$C:$C,NFs!$H:$H,"="&amp;TRUE,NFs!$B:$B,"&gt;="&amp;Tabela1[[#This Row],[mes]],NFs!$B:$B,"&lt;"&amp;ResumoMensal!A48)</f>
        <v>0</v>
      </c>
      <c r="G47" s="2">
        <f>SUM(Tabela1[[#This Row],[Nfs]:[Aluguel]])</f>
        <v>0</v>
      </c>
      <c r="H47" s="2">
        <f>SUMIFS(NFs!$D:$D,NFs!$H:$H,"="&amp;TRUE,NFs!$B:$B,"&gt;="&amp;Tabela1[[#This Row],[mes]],NFs!$B:$B,"&lt;"&amp;ResumoMensal!A48)</f>
        <v>0</v>
      </c>
      <c r="I47" s="2">
        <f>Tabela1[[#This Row],[Total]]*$B$2</f>
        <v>0</v>
      </c>
      <c r="J47" s="2">
        <f>Tabela1[[#This Row],[PIS]]-Tabela1[[#This Row],[Pis Ret]]</f>
        <v>0</v>
      </c>
      <c r="K47" s="2">
        <f>SUMIFS(NFs!$E:$E,NFs!$H:$H,"="&amp;TRUE,NFs!$B:$B,"&gt;="&amp;Tabela1[[#This Row],[mes]],NFs!$B:$B,"&lt;"&amp;ResumoMensal!A48)</f>
        <v>0</v>
      </c>
      <c r="L47" s="2">
        <f>Tabela1[[#This Row],[Total]]*$B$3</f>
        <v>0</v>
      </c>
      <c r="M47" s="2">
        <f>Tabela1[[#This Row],[Cofins]]-Tabela1[[#This Row],[Cofins Ret]]</f>
        <v>0</v>
      </c>
      <c r="N47" s="2">
        <f>SUMIFS(NFs!$F:$F,NFs!$H:$H,"="&amp;TRUE,NFs!$B:$B,"&gt;="&amp;Tabela1[[#This Row],[mes]],NFs!$B:$B,"&lt;"&amp;ResumoMensal!A48)</f>
        <v>0</v>
      </c>
      <c r="O47" s="2">
        <f>Tabela1[[#This Row],[Total]]*$B$4</f>
        <v>0</v>
      </c>
      <c r="P47" s="2">
        <f>Tabela1[[#This Row],[IR]]-Tabela1[[#This Row],[IR ret]]</f>
        <v>0</v>
      </c>
      <c r="Q47" s="2">
        <f>SUMIFS(NFs!$G:$G,NFs!$H:$H,"="&amp;TRUE,NFs!$B:$B,"&gt;="&amp;Tabela1[[#This Row],[mes]],NFs!$B:$B,"&lt;"&amp;ResumoMensal!A48)</f>
        <v>0</v>
      </c>
      <c r="R47" s="2">
        <f>Tabela1[[#This Row],[Total]]*$B$5</f>
        <v>0</v>
      </c>
      <c r="S47" s="2">
        <f>Tabela1[[#This Row],[CSLL]]-Tabela1[[#This Row],[CSLL Ret]]</f>
        <v>0</v>
      </c>
    </row>
    <row r="48" spans="1:19" x14ac:dyDescent="0.25">
      <c r="A48" s="9">
        <v>46539</v>
      </c>
      <c r="B48" s="2">
        <f>SUMIFS(NFs!$C:$C,NFs!$H:$H,"="&amp;TRUE,NFs!$B:$B,"&gt;="&amp;Tabela1[[#This Row],[mes]],NFs!$B:$B,"&lt;"&amp;ResumoMensal!A49)</f>
        <v>0</v>
      </c>
      <c r="G48" s="2">
        <f>SUM(Tabela1[[#This Row],[Nfs]:[Aluguel]])</f>
        <v>0</v>
      </c>
      <c r="H48" s="2">
        <f>SUMIFS(NFs!$D:$D,NFs!$H:$H,"="&amp;TRUE,NFs!$B:$B,"&gt;="&amp;Tabela1[[#This Row],[mes]],NFs!$B:$B,"&lt;"&amp;ResumoMensal!A49)</f>
        <v>0</v>
      </c>
      <c r="I48" s="2">
        <f>Tabela1[[#This Row],[Total]]*$B$2</f>
        <v>0</v>
      </c>
      <c r="J48" s="2">
        <f>Tabela1[[#This Row],[PIS]]-Tabela1[[#This Row],[Pis Ret]]</f>
        <v>0</v>
      </c>
      <c r="K48" s="2">
        <f>SUMIFS(NFs!$E:$E,NFs!$H:$H,"="&amp;TRUE,NFs!$B:$B,"&gt;="&amp;Tabela1[[#This Row],[mes]],NFs!$B:$B,"&lt;"&amp;ResumoMensal!A49)</f>
        <v>0</v>
      </c>
      <c r="L48" s="2">
        <f>Tabela1[[#This Row],[Total]]*$B$3</f>
        <v>0</v>
      </c>
      <c r="M48" s="2">
        <f>Tabela1[[#This Row],[Cofins]]-Tabela1[[#This Row],[Cofins Ret]]</f>
        <v>0</v>
      </c>
      <c r="N48" s="2">
        <f>SUMIFS(NFs!$F:$F,NFs!$H:$H,"="&amp;TRUE,NFs!$B:$B,"&gt;="&amp;Tabela1[[#This Row],[mes]],NFs!$B:$B,"&lt;"&amp;ResumoMensal!A49)</f>
        <v>0</v>
      </c>
      <c r="O48" s="2">
        <f>Tabela1[[#This Row],[Total]]*$B$4</f>
        <v>0</v>
      </c>
      <c r="P48" s="2">
        <f>Tabela1[[#This Row],[IR]]-Tabela1[[#This Row],[IR ret]]</f>
        <v>0</v>
      </c>
      <c r="Q48" s="2">
        <f>SUMIFS(NFs!$G:$G,NFs!$H:$H,"="&amp;TRUE,NFs!$B:$B,"&gt;="&amp;Tabela1[[#This Row],[mes]],NFs!$B:$B,"&lt;"&amp;ResumoMensal!A49)</f>
        <v>0</v>
      </c>
      <c r="R48" s="2">
        <f>Tabela1[[#This Row],[Total]]*$B$5</f>
        <v>0</v>
      </c>
      <c r="S48" s="2">
        <f>Tabela1[[#This Row],[CSLL]]-Tabela1[[#This Row],[CSLL Ret]]</f>
        <v>0</v>
      </c>
    </row>
    <row r="49" spans="1:19" x14ac:dyDescent="0.25">
      <c r="A49" s="9">
        <v>46569</v>
      </c>
      <c r="B49" s="2">
        <f>SUMIFS(NFs!$C:$C,NFs!$H:$H,"="&amp;TRUE,NFs!$B:$B,"&gt;="&amp;Tabela1[[#This Row],[mes]],NFs!$B:$B,"&lt;"&amp;ResumoMensal!A50)</f>
        <v>0</v>
      </c>
      <c r="G49" s="2">
        <f>SUM(Tabela1[[#This Row],[Nfs]:[Aluguel]])</f>
        <v>0</v>
      </c>
      <c r="H49" s="2">
        <f>SUMIFS(NFs!$D:$D,NFs!$H:$H,"="&amp;TRUE,NFs!$B:$B,"&gt;="&amp;Tabela1[[#This Row],[mes]],NFs!$B:$B,"&lt;"&amp;ResumoMensal!A50)</f>
        <v>0</v>
      </c>
      <c r="I49" s="2">
        <f>Tabela1[[#This Row],[Total]]*$B$2</f>
        <v>0</v>
      </c>
      <c r="J49" s="2">
        <f>Tabela1[[#This Row],[PIS]]-Tabela1[[#This Row],[Pis Ret]]</f>
        <v>0</v>
      </c>
      <c r="K49" s="2">
        <f>SUMIFS(NFs!$E:$E,NFs!$H:$H,"="&amp;TRUE,NFs!$B:$B,"&gt;="&amp;Tabela1[[#This Row],[mes]],NFs!$B:$B,"&lt;"&amp;ResumoMensal!A50)</f>
        <v>0</v>
      </c>
      <c r="L49" s="2">
        <f>Tabela1[[#This Row],[Total]]*$B$3</f>
        <v>0</v>
      </c>
      <c r="M49" s="2">
        <f>Tabela1[[#This Row],[Cofins]]-Tabela1[[#This Row],[Cofins Ret]]</f>
        <v>0</v>
      </c>
      <c r="N49" s="2">
        <f>SUMIFS(NFs!$F:$F,NFs!$H:$H,"="&amp;TRUE,NFs!$B:$B,"&gt;="&amp;Tabela1[[#This Row],[mes]],NFs!$B:$B,"&lt;"&amp;ResumoMensal!A50)</f>
        <v>0</v>
      </c>
      <c r="O49" s="2">
        <f>Tabela1[[#This Row],[Total]]*$B$4</f>
        <v>0</v>
      </c>
      <c r="P49" s="2">
        <f>Tabela1[[#This Row],[IR]]-Tabela1[[#This Row],[IR ret]]</f>
        <v>0</v>
      </c>
      <c r="Q49" s="2">
        <f>SUMIFS(NFs!$G:$G,NFs!$H:$H,"="&amp;TRUE,NFs!$B:$B,"&gt;="&amp;Tabela1[[#This Row],[mes]],NFs!$B:$B,"&lt;"&amp;ResumoMensal!A50)</f>
        <v>0</v>
      </c>
      <c r="R49" s="2">
        <f>Tabela1[[#This Row],[Total]]*$B$5</f>
        <v>0</v>
      </c>
      <c r="S49" s="2">
        <f>Tabela1[[#This Row],[CSLL]]-Tabela1[[#This Row],[CSLL Ret]]</f>
        <v>0</v>
      </c>
    </row>
    <row r="50" spans="1:19" x14ac:dyDescent="0.25">
      <c r="A50" s="9">
        <v>46600</v>
      </c>
      <c r="B50" s="2">
        <f>SUMIFS(NFs!$C:$C,NFs!$H:$H,"="&amp;TRUE,NFs!$B:$B,"&gt;="&amp;Tabela1[[#This Row],[mes]],NFs!$B:$B,"&lt;"&amp;ResumoMensal!A51)</f>
        <v>0</v>
      </c>
      <c r="G50" s="2">
        <f>SUM(Tabela1[[#This Row],[Nfs]:[Aluguel]])</f>
        <v>0</v>
      </c>
      <c r="H50" s="2">
        <f>SUMIFS(NFs!$D:$D,NFs!$H:$H,"="&amp;TRUE,NFs!$B:$B,"&gt;="&amp;Tabela1[[#This Row],[mes]],NFs!$B:$B,"&lt;"&amp;ResumoMensal!A51)</f>
        <v>0</v>
      </c>
      <c r="I50" s="2">
        <f>Tabela1[[#This Row],[Total]]*$B$2</f>
        <v>0</v>
      </c>
      <c r="J50" s="2">
        <f>Tabela1[[#This Row],[PIS]]-Tabela1[[#This Row],[Pis Ret]]</f>
        <v>0</v>
      </c>
      <c r="K50" s="2">
        <f>SUMIFS(NFs!$E:$E,NFs!$H:$H,"="&amp;TRUE,NFs!$B:$B,"&gt;="&amp;Tabela1[[#This Row],[mes]],NFs!$B:$B,"&lt;"&amp;ResumoMensal!A51)</f>
        <v>0</v>
      </c>
      <c r="L50" s="2">
        <f>Tabela1[[#This Row],[Total]]*$B$3</f>
        <v>0</v>
      </c>
      <c r="M50" s="2">
        <f>Tabela1[[#This Row],[Cofins]]-Tabela1[[#This Row],[Cofins Ret]]</f>
        <v>0</v>
      </c>
      <c r="N50" s="2">
        <f>SUMIFS(NFs!$F:$F,NFs!$H:$H,"="&amp;TRUE,NFs!$B:$B,"&gt;="&amp;Tabela1[[#This Row],[mes]],NFs!$B:$B,"&lt;"&amp;ResumoMensal!A51)</f>
        <v>0</v>
      </c>
      <c r="O50" s="2">
        <f>Tabela1[[#This Row],[Total]]*$B$4</f>
        <v>0</v>
      </c>
      <c r="P50" s="2">
        <f>Tabela1[[#This Row],[IR]]-Tabela1[[#This Row],[IR ret]]</f>
        <v>0</v>
      </c>
      <c r="Q50" s="2">
        <f>SUMIFS(NFs!$G:$G,NFs!$H:$H,"="&amp;TRUE,NFs!$B:$B,"&gt;="&amp;Tabela1[[#This Row],[mes]],NFs!$B:$B,"&lt;"&amp;ResumoMensal!A51)</f>
        <v>0</v>
      </c>
      <c r="R50" s="2">
        <f>Tabela1[[#This Row],[Total]]*$B$5</f>
        <v>0</v>
      </c>
      <c r="S50" s="2">
        <f>Tabela1[[#This Row],[CSLL]]-Tabela1[[#This Row],[CSLL Ret]]</f>
        <v>0</v>
      </c>
    </row>
    <row r="51" spans="1:19" x14ac:dyDescent="0.25">
      <c r="A51" s="9">
        <v>46631</v>
      </c>
      <c r="B51" s="2">
        <f>SUMIFS(NFs!$C:$C,NFs!$H:$H,"="&amp;TRUE,NFs!$B:$B,"&gt;="&amp;Tabela1[[#This Row],[mes]],NFs!$B:$B,"&lt;"&amp;ResumoMensal!A52)</f>
        <v>0</v>
      </c>
      <c r="G51" s="2">
        <f>SUM(Tabela1[[#This Row],[Nfs]:[Aluguel]])</f>
        <v>0</v>
      </c>
      <c r="H51" s="2">
        <f>SUMIFS(NFs!$D:$D,NFs!$H:$H,"="&amp;TRUE,NFs!$B:$B,"&gt;="&amp;Tabela1[[#This Row],[mes]],NFs!$B:$B,"&lt;"&amp;ResumoMensal!A52)</f>
        <v>0</v>
      </c>
      <c r="I51" s="2">
        <f>Tabela1[[#This Row],[Total]]*$B$2</f>
        <v>0</v>
      </c>
      <c r="J51" s="2">
        <f>Tabela1[[#This Row],[PIS]]-Tabela1[[#This Row],[Pis Ret]]</f>
        <v>0</v>
      </c>
      <c r="K51" s="2">
        <f>SUMIFS(NFs!$E:$E,NFs!$H:$H,"="&amp;TRUE,NFs!$B:$B,"&gt;="&amp;Tabela1[[#This Row],[mes]],NFs!$B:$B,"&lt;"&amp;ResumoMensal!A52)</f>
        <v>0</v>
      </c>
      <c r="L51" s="2">
        <f>Tabela1[[#This Row],[Total]]*$B$3</f>
        <v>0</v>
      </c>
      <c r="M51" s="2">
        <f>Tabela1[[#This Row],[Cofins]]-Tabela1[[#This Row],[Cofins Ret]]</f>
        <v>0</v>
      </c>
      <c r="N51" s="2">
        <f>SUMIFS(NFs!$F:$F,NFs!$H:$H,"="&amp;TRUE,NFs!$B:$B,"&gt;="&amp;Tabela1[[#This Row],[mes]],NFs!$B:$B,"&lt;"&amp;ResumoMensal!A52)</f>
        <v>0</v>
      </c>
      <c r="O51" s="2">
        <f>Tabela1[[#This Row],[Total]]*$B$4</f>
        <v>0</v>
      </c>
      <c r="P51" s="2">
        <f>Tabela1[[#This Row],[IR]]-Tabela1[[#This Row],[IR ret]]</f>
        <v>0</v>
      </c>
      <c r="Q51" s="2">
        <f>SUMIFS(NFs!$G:$G,NFs!$H:$H,"="&amp;TRUE,NFs!$B:$B,"&gt;="&amp;Tabela1[[#This Row],[mes]],NFs!$B:$B,"&lt;"&amp;ResumoMensal!A52)</f>
        <v>0</v>
      </c>
      <c r="R51" s="2">
        <f>Tabela1[[#This Row],[Total]]*$B$5</f>
        <v>0</v>
      </c>
      <c r="S51" s="2">
        <f>Tabela1[[#This Row],[CSLL]]-Tabela1[[#This Row],[CSLL Ret]]</f>
        <v>0</v>
      </c>
    </row>
    <row r="52" spans="1:19" x14ac:dyDescent="0.25">
      <c r="A52" s="9">
        <v>46661</v>
      </c>
      <c r="B52" s="2">
        <f>SUMIFS(NFs!$C:$C,NFs!$H:$H,"="&amp;TRUE,NFs!$B:$B,"&gt;="&amp;Tabela1[[#This Row],[mes]],NFs!$B:$B,"&lt;"&amp;ResumoMensal!A53)</f>
        <v>0</v>
      </c>
      <c r="G52" s="2">
        <f>SUM(Tabela1[[#This Row],[Nfs]:[Aluguel]])</f>
        <v>0</v>
      </c>
      <c r="H52" s="2">
        <f>SUMIFS(NFs!$D:$D,NFs!$H:$H,"="&amp;TRUE,NFs!$B:$B,"&gt;="&amp;Tabela1[[#This Row],[mes]],NFs!$B:$B,"&lt;"&amp;ResumoMensal!A53)</f>
        <v>0</v>
      </c>
      <c r="I52" s="2">
        <f>Tabela1[[#This Row],[Total]]*$B$2</f>
        <v>0</v>
      </c>
      <c r="J52" s="2">
        <f>Tabela1[[#This Row],[PIS]]-Tabela1[[#This Row],[Pis Ret]]</f>
        <v>0</v>
      </c>
      <c r="K52" s="2">
        <f>SUMIFS(NFs!$E:$E,NFs!$H:$H,"="&amp;TRUE,NFs!$B:$B,"&gt;="&amp;Tabela1[[#This Row],[mes]],NFs!$B:$B,"&lt;"&amp;ResumoMensal!A53)</f>
        <v>0</v>
      </c>
      <c r="L52" s="2">
        <f>Tabela1[[#This Row],[Total]]*$B$3</f>
        <v>0</v>
      </c>
      <c r="M52" s="2">
        <f>Tabela1[[#This Row],[Cofins]]-Tabela1[[#This Row],[Cofins Ret]]</f>
        <v>0</v>
      </c>
      <c r="N52" s="2">
        <f>SUMIFS(NFs!$F:$F,NFs!$H:$H,"="&amp;TRUE,NFs!$B:$B,"&gt;="&amp;Tabela1[[#This Row],[mes]],NFs!$B:$B,"&lt;"&amp;ResumoMensal!A53)</f>
        <v>0</v>
      </c>
      <c r="O52" s="2">
        <f>Tabela1[[#This Row],[Total]]*$B$4</f>
        <v>0</v>
      </c>
      <c r="P52" s="2">
        <f>Tabela1[[#This Row],[IR]]-Tabela1[[#This Row],[IR ret]]</f>
        <v>0</v>
      </c>
      <c r="Q52" s="2">
        <f>SUMIFS(NFs!$G:$G,NFs!$H:$H,"="&amp;TRUE,NFs!$B:$B,"&gt;="&amp;Tabela1[[#This Row],[mes]],NFs!$B:$B,"&lt;"&amp;ResumoMensal!A53)</f>
        <v>0</v>
      </c>
      <c r="R52" s="2">
        <f>Tabela1[[#This Row],[Total]]*$B$5</f>
        <v>0</v>
      </c>
      <c r="S52" s="2">
        <f>Tabela1[[#This Row],[CSLL]]-Tabela1[[#This Row],[CSLL Ret]]</f>
        <v>0</v>
      </c>
    </row>
    <row r="53" spans="1:19" x14ac:dyDescent="0.25">
      <c r="A53" s="9">
        <v>46692</v>
      </c>
      <c r="B53" s="2">
        <f>SUMIFS(NFs!$C:$C,NFs!$H:$H,"="&amp;TRUE,NFs!$B:$B,"&gt;="&amp;Tabela1[[#This Row],[mes]],NFs!$B:$B,"&lt;"&amp;ResumoMensal!A54)</f>
        <v>0</v>
      </c>
      <c r="G53" s="2">
        <f>SUM(Tabela1[[#This Row],[Nfs]:[Aluguel]])</f>
        <v>0</v>
      </c>
      <c r="H53" s="2">
        <f>SUMIFS(NFs!$D:$D,NFs!$H:$H,"="&amp;TRUE,NFs!$B:$B,"&gt;="&amp;Tabela1[[#This Row],[mes]],NFs!$B:$B,"&lt;"&amp;ResumoMensal!A54)</f>
        <v>0</v>
      </c>
      <c r="I53" s="2">
        <f>Tabela1[[#This Row],[Total]]*$B$2</f>
        <v>0</v>
      </c>
      <c r="J53" s="2">
        <f>Tabela1[[#This Row],[PIS]]-Tabela1[[#This Row],[Pis Ret]]</f>
        <v>0</v>
      </c>
      <c r="K53" s="2">
        <f>SUMIFS(NFs!$E:$E,NFs!$H:$H,"="&amp;TRUE,NFs!$B:$B,"&gt;="&amp;Tabela1[[#This Row],[mes]],NFs!$B:$B,"&lt;"&amp;ResumoMensal!A54)</f>
        <v>0</v>
      </c>
      <c r="L53" s="2">
        <f>Tabela1[[#This Row],[Total]]*$B$3</f>
        <v>0</v>
      </c>
      <c r="M53" s="2">
        <f>Tabela1[[#This Row],[Cofins]]-Tabela1[[#This Row],[Cofins Ret]]</f>
        <v>0</v>
      </c>
      <c r="N53" s="2">
        <f>SUMIFS(NFs!$F:$F,NFs!$H:$H,"="&amp;TRUE,NFs!$B:$B,"&gt;="&amp;Tabela1[[#This Row],[mes]],NFs!$B:$B,"&lt;"&amp;ResumoMensal!A54)</f>
        <v>0</v>
      </c>
      <c r="O53" s="2">
        <f>Tabela1[[#This Row],[Total]]*$B$4</f>
        <v>0</v>
      </c>
      <c r="P53" s="2">
        <f>Tabela1[[#This Row],[IR]]-Tabela1[[#This Row],[IR ret]]</f>
        <v>0</v>
      </c>
      <c r="Q53" s="2">
        <f>SUMIFS(NFs!$G:$G,NFs!$H:$H,"="&amp;TRUE,NFs!$B:$B,"&gt;="&amp;Tabela1[[#This Row],[mes]],NFs!$B:$B,"&lt;"&amp;ResumoMensal!A54)</f>
        <v>0</v>
      </c>
      <c r="R53" s="2">
        <f>Tabela1[[#This Row],[Total]]*$B$5</f>
        <v>0</v>
      </c>
      <c r="S53" s="2">
        <f>Tabela1[[#This Row],[CSLL]]-Tabela1[[#This Row],[CSLL Ret]]</f>
        <v>0</v>
      </c>
    </row>
    <row r="54" spans="1:19" x14ac:dyDescent="0.25">
      <c r="A54" s="9">
        <v>46722</v>
      </c>
      <c r="B54" s="2">
        <f>SUMIFS(NFs!$C:$C,NFs!$H:$H,"="&amp;TRUE,NFs!$B:$B,"&gt;="&amp;Tabela1[[#This Row],[mes]],NFs!$B:$B,"&lt;"&amp;ResumoMensal!A55)</f>
        <v>0</v>
      </c>
      <c r="G54" s="2">
        <f>SUM(Tabela1[[#This Row],[Nfs]:[Aluguel]])</f>
        <v>0</v>
      </c>
      <c r="H54" s="2">
        <f>SUMIFS(NFs!$D:$D,NFs!$H:$H,"="&amp;TRUE,NFs!$B:$B,"&gt;="&amp;Tabela1[[#This Row],[mes]],NFs!$B:$B,"&lt;"&amp;ResumoMensal!A55)</f>
        <v>0</v>
      </c>
      <c r="I54" s="2">
        <f>Tabela1[[#This Row],[Total]]*$B$2</f>
        <v>0</v>
      </c>
      <c r="J54" s="2">
        <f>Tabela1[[#This Row],[PIS]]-Tabela1[[#This Row],[Pis Ret]]</f>
        <v>0</v>
      </c>
      <c r="K54" s="2">
        <f>SUMIFS(NFs!$E:$E,NFs!$H:$H,"="&amp;TRUE,NFs!$B:$B,"&gt;="&amp;Tabela1[[#This Row],[mes]],NFs!$B:$B,"&lt;"&amp;ResumoMensal!A55)</f>
        <v>0</v>
      </c>
      <c r="L54" s="2">
        <f>Tabela1[[#This Row],[Total]]*$B$3</f>
        <v>0</v>
      </c>
      <c r="M54" s="2">
        <f>Tabela1[[#This Row],[Cofins]]-Tabela1[[#This Row],[Cofins Ret]]</f>
        <v>0</v>
      </c>
      <c r="N54" s="2">
        <f>SUMIFS(NFs!$F:$F,NFs!$H:$H,"="&amp;TRUE,NFs!$B:$B,"&gt;="&amp;Tabela1[[#This Row],[mes]],NFs!$B:$B,"&lt;"&amp;ResumoMensal!A55)</f>
        <v>0</v>
      </c>
      <c r="O54" s="2">
        <f>Tabela1[[#This Row],[Total]]*$B$4</f>
        <v>0</v>
      </c>
      <c r="P54" s="2">
        <f>Tabela1[[#This Row],[IR]]-Tabela1[[#This Row],[IR ret]]</f>
        <v>0</v>
      </c>
      <c r="Q54" s="2">
        <f>SUMIFS(NFs!$G:$G,NFs!$H:$H,"="&amp;TRUE,NFs!$B:$B,"&gt;="&amp;Tabela1[[#This Row],[mes]],NFs!$B:$B,"&lt;"&amp;ResumoMensal!A55)</f>
        <v>0</v>
      </c>
      <c r="R54" s="2">
        <f>Tabela1[[#This Row],[Total]]*$B$5</f>
        <v>0</v>
      </c>
      <c r="S54" s="2">
        <f>Tabela1[[#This Row],[CSLL]]-Tabela1[[#This Row],[CSLL Ret]]</f>
        <v>0</v>
      </c>
    </row>
    <row r="55" spans="1:19" x14ac:dyDescent="0.25">
      <c r="A55" s="9">
        <v>46753</v>
      </c>
      <c r="B55" s="2">
        <f>SUMIFS(NFs!$C:$C,NFs!$H:$H,"="&amp;TRUE,NFs!$B:$B,"&gt;="&amp;Tabela1[[#This Row],[mes]],NFs!$B:$B,"&lt;"&amp;ResumoMensal!A56)</f>
        <v>0</v>
      </c>
      <c r="G55" s="2">
        <f>SUM(Tabela1[[#This Row],[Nfs]:[Aluguel]])</f>
        <v>0</v>
      </c>
      <c r="H55" s="2">
        <f>SUMIFS(NFs!$D:$D,NFs!$H:$H,"="&amp;TRUE,NFs!$B:$B,"&gt;="&amp;Tabela1[[#This Row],[mes]],NFs!$B:$B,"&lt;"&amp;ResumoMensal!A56)</f>
        <v>0</v>
      </c>
      <c r="I55" s="2">
        <f>Tabela1[[#This Row],[Total]]*$B$2</f>
        <v>0</v>
      </c>
      <c r="J55" s="2">
        <f>Tabela1[[#This Row],[PIS]]-Tabela1[[#This Row],[Pis Ret]]</f>
        <v>0</v>
      </c>
      <c r="K55" s="2">
        <f>SUMIFS(NFs!$E:$E,NFs!$H:$H,"="&amp;TRUE,NFs!$B:$B,"&gt;="&amp;Tabela1[[#This Row],[mes]],NFs!$B:$B,"&lt;"&amp;ResumoMensal!A56)</f>
        <v>0</v>
      </c>
      <c r="L55" s="2">
        <f>Tabela1[[#This Row],[Total]]*$B$3</f>
        <v>0</v>
      </c>
      <c r="M55" s="2">
        <f>Tabela1[[#This Row],[Cofins]]-Tabela1[[#This Row],[Cofins Ret]]</f>
        <v>0</v>
      </c>
      <c r="N55" s="2">
        <f>SUMIFS(NFs!$F:$F,NFs!$H:$H,"="&amp;TRUE,NFs!$B:$B,"&gt;="&amp;Tabela1[[#This Row],[mes]],NFs!$B:$B,"&lt;"&amp;ResumoMensal!A56)</f>
        <v>0</v>
      </c>
      <c r="O55" s="2">
        <f>Tabela1[[#This Row],[Total]]*$B$4</f>
        <v>0</v>
      </c>
      <c r="P55" s="2">
        <f>Tabela1[[#This Row],[IR]]-Tabela1[[#This Row],[IR ret]]</f>
        <v>0</v>
      </c>
      <c r="Q55" s="2">
        <f>SUMIFS(NFs!$G:$G,NFs!$H:$H,"="&amp;TRUE,NFs!$B:$B,"&gt;="&amp;Tabela1[[#This Row],[mes]],NFs!$B:$B,"&lt;"&amp;ResumoMensal!A56)</f>
        <v>0</v>
      </c>
      <c r="R55" s="2">
        <f>Tabela1[[#This Row],[Total]]*$B$5</f>
        <v>0</v>
      </c>
      <c r="S55" s="2">
        <f>Tabela1[[#This Row],[CSLL]]-Tabela1[[#This Row],[CSLL Ret]]</f>
        <v>0</v>
      </c>
    </row>
    <row r="56" spans="1:19" x14ac:dyDescent="0.25">
      <c r="A56" s="9">
        <v>46784</v>
      </c>
      <c r="B56" s="2">
        <f>SUMIFS(NFs!$C:$C,NFs!$H:$H,"="&amp;TRUE,NFs!$B:$B,"&gt;="&amp;Tabela1[[#This Row],[mes]],NFs!$B:$B,"&lt;"&amp;ResumoMensal!A57)</f>
        <v>0</v>
      </c>
      <c r="G56" s="2">
        <f>SUM(Tabela1[[#This Row],[Nfs]:[Aluguel]])</f>
        <v>0</v>
      </c>
      <c r="H56" s="2">
        <f>SUMIFS(NFs!$D:$D,NFs!$H:$H,"="&amp;TRUE,NFs!$B:$B,"&gt;="&amp;Tabela1[[#This Row],[mes]],NFs!$B:$B,"&lt;"&amp;ResumoMensal!A57)</f>
        <v>0</v>
      </c>
      <c r="I56" s="2">
        <f>Tabela1[[#This Row],[Total]]*$B$2</f>
        <v>0</v>
      </c>
      <c r="J56" s="2">
        <f>Tabela1[[#This Row],[PIS]]-Tabela1[[#This Row],[Pis Ret]]</f>
        <v>0</v>
      </c>
      <c r="K56" s="2">
        <f>SUMIFS(NFs!$E:$E,NFs!$H:$H,"="&amp;TRUE,NFs!$B:$B,"&gt;="&amp;Tabela1[[#This Row],[mes]],NFs!$B:$B,"&lt;"&amp;ResumoMensal!A57)</f>
        <v>0</v>
      </c>
      <c r="L56" s="2">
        <f>Tabela1[[#This Row],[Total]]*$B$3</f>
        <v>0</v>
      </c>
      <c r="M56" s="2">
        <f>Tabela1[[#This Row],[Cofins]]-Tabela1[[#This Row],[Cofins Ret]]</f>
        <v>0</v>
      </c>
      <c r="N56" s="2">
        <f>SUMIFS(NFs!$F:$F,NFs!$H:$H,"="&amp;TRUE,NFs!$B:$B,"&gt;="&amp;Tabela1[[#This Row],[mes]],NFs!$B:$B,"&lt;"&amp;ResumoMensal!A57)</f>
        <v>0</v>
      </c>
      <c r="O56" s="2">
        <f>Tabela1[[#This Row],[Total]]*$B$4</f>
        <v>0</v>
      </c>
      <c r="P56" s="2">
        <f>Tabela1[[#This Row],[IR]]-Tabela1[[#This Row],[IR ret]]</f>
        <v>0</v>
      </c>
      <c r="Q56" s="2">
        <f>SUMIFS(NFs!$G:$G,NFs!$H:$H,"="&amp;TRUE,NFs!$B:$B,"&gt;="&amp;Tabela1[[#This Row],[mes]],NFs!$B:$B,"&lt;"&amp;ResumoMensal!A57)</f>
        <v>0</v>
      </c>
      <c r="R56" s="2">
        <f>Tabela1[[#This Row],[Total]]*$B$5</f>
        <v>0</v>
      </c>
      <c r="S56" s="2">
        <f>Tabela1[[#This Row],[CSLL]]-Tabela1[[#This Row],[CSLL Ret]]</f>
        <v>0</v>
      </c>
    </row>
    <row r="57" spans="1:19" x14ac:dyDescent="0.25">
      <c r="A57" s="9">
        <v>46813</v>
      </c>
      <c r="B57" s="2">
        <f>SUMIFS(NFs!$C:$C,NFs!$H:$H,"="&amp;TRUE,NFs!$B:$B,"&gt;="&amp;Tabela1[[#This Row],[mes]],NFs!$B:$B,"&lt;"&amp;ResumoMensal!A58)</f>
        <v>0</v>
      </c>
      <c r="G57" s="2">
        <f>SUM(Tabela1[[#This Row],[Nfs]:[Aluguel]])</f>
        <v>0</v>
      </c>
      <c r="H57" s="2">
        <f>SUMIFS(NFs!$D:$D,NFs!$H:$H,"="&amp;TRUE,NFs!$B:$B,"&gt;="&amp;Tabela1[[#This Row],[mes]],NFs!$B:$B,"&lt;"&amp;ResumoMensal!A58)</f>
        <v>0</v>
      </c>
      <c r="I57" s="2">
        <f>Tabela1[[#This Row],[Total]]*$B$2</f>
        <v>0</v>
      </c>
      <c r="J57" s="2">
        <f>Tabela1[[#This Row],[PIS]]-Tabela1[[#This Row],[Pis Ret]]</f>
        <v>0</v>
      </c>
      <c r="K57" s="2">
        <f>SUMIFS(NFs!$E:$E,NFs!$H:$H,"="&amp;TRUE,NFs!$B:$B,"&gt;="&amp;Tabela1[[#This Row],[mes]],NFs!$B:$B,"&lt;"&amp;ResumoMensal!A58)</f>
        <v>0</v>
      </c>
      <c r="L57" s="2">
        <f>Tabela1[[#This Row],[Total]]*$B$3</f>
        <v>0</v>
      </c>
      <c r="M57" s="2">
        <f>Tabela1[[#This Row],[Cofins]]-Tabela1[[#This Row],[Cofins Ret]]</f>
        <v>0</v>
      </c>
      <c r="N57" s="2">
        <f>SUMIFS(NFs!$F:$F,NFs!$H:$H,"="&amp;TRUE,NFs!$B:$B,"&gt;="&amp;Tabela1[[#This Row],[mes]],NFs!$B:$B,"&lt;"&amp;ResumoMensal!A58)</f>
        <v>0</v>
      </c>
      <c r="O57" s="2">
        <f>Tabela1[[#This Row],[Total]]*$B$4</f>
        <v>0</v>
      </c>
      <c r="P57" s="2">
        <f>Tabela1[[#This Row],[IR]]-Tabela1[[#This Row],[IR ret]]</f>
        <v>0</v>
      </c>
      <c r="Q57" s="2">
        <f>SUMIFS(NFs!$G:$G,NFs!$H:$H,"="&amp;TRUE,NFs!$B:$B,"&gt;="&amp;Tabela1[[#This Row],[mes]],NFs!$B:$B,"&lt;"&amp;ResumoMensal!A58)</f>
        <v>0</v>
      </c>
      <c r="R57" s="2">
        <f>Tabela1[[#This Row],[Total]]*$B$5</f>
        <v>0</v>
      </c>
      <c r="S57" s="2">
        <f>Tabela1[[#This Row],[CSLL]]-Tabela1[[#This Row],[CSLL Ret]]</f>
        <v>0</v>
      </c>
    </row>
    <row r="58" spans="1:19" x14ac:dyDescent="0.25">
      <c r="A58" s="9">
        <v>46844</v>
      </c>
      <c r="B58" s="2">
        <f>SUMIFS(NFs!$C:$C,NFs!$H:$H,"="&amp;TRUE,NFs!$B:$B,"&gt;="&amp;Tabela1[[#This Row],[mes]],NFs!$B:$B,"&lt;"&amp;ResumoMensal!A59)</f>
        <v>0</v>
      </c>
      <c r="G58" s="2">
        <f>SUM(Tabela1[[#This Row],[Nfs]:[Aluguel]])</f>
        <v>0</v>
      </c>
      <c r="H58" s="2">
        <f>SUMIFS(NFs!$D:$D,NFs!$H:$H,"="&amp;TRUE,NFs!$B:$B,"&gt;="&amp;Tabela1[[#This Row],[mes]],NFs!$B:$B,"&lt;"&amp;ResumoMensal!A59)</f>
        <v>0</v>
      </c>
      <c r="I58" s="2">
        <f>Tabela1[[#This Row],[Total]]*$B$2</f>
        <v>0</v>
      </c>
      <c r="J58" s="2">
        <f>Tabela1[[#This Row],[PIS]]-Tabela1[[#This Row],[Pis Ret]]</f>
        <v>0</v>
      </c>
      <c r="K58" s="2">
        <f>SUMIFS(NFs!$E:$E,NFs!$H:$H,"="&amp;TRUE,NFs!$B:$B,"&gt;="&amp;Tabela1[[#This Row],[mes]],NFs!$B:$B,"&lt;"&amp;ResumoMensal!A59)</f>
        <v>0</v>
      </c>
      <c r="L58" s="2">
        <f>Tabela1[[#This Row],[Total]]*$B$3</f>
        <v>0</v>
      </c>
      <c r="M58" s="2">
        <f>Tabela1[[#This Row],[Cofins]]-Tabela1[[#This Row],[Cofins Ret]]</f>
        <v>0</v>
      </c>
      <c r="N58" s="2">
        <f>SUMIFS(NFs!$F:$F,NFs!$H:$H,"="&amp;TRUE,NFs!$B:$B,"&gt;="&amp;Tabela1[[#This Row],[mes]],NFs!$B:$B,"&lt;"&amp;ResumoMensal!A59)</f>
        <v>0</v>
      </c>
      <c r="O58" s="2">
        <f>Tabela1[[#This Row],[Total]]*$B$4</f>
        <v>0</v>
      </c>
      <c r="P58" s="2">
        <f>Tabela1[[#This Row],[IR]]-Tabela1[[#This Row],[IR ret]]</f>
        <v>0</v>
      </c>
      <c r="Q58" s="2">
        <f>SUMIFS(NFs!$G:$G,NFs!$H:$H,"="&amp;TRUE,NFs!$B:$B,"&gt;="&amp;Tabela1[[#This Row],[mes]],NFs!$B:$B,"&lt;"&amp;ResumoMensal!A59)</f>
        <v>0</v>
      </c>
      <c r="R58" s="2">
        <f>Tabela1[[#This Row],[Total]]*$B$5</f>
        <v>0</v>
      </c>
      <c r="S58" s="2">
        <f>Tabela1[[#This Row],[CSLL]]-Tabela1[[#This Row],[CSLL Ret]]</f>
        <v>0</v>
      </c>
    </row>
    <row r="59" spans="1:19" x14ac:dyDescent="0.25">
      <c r="A59" s="9">
        <v>46874</v>
      </c>
      <c r="B59" s="2">
        <f>SUMIFS(NFs!$C:$C,NFs!$H:$H,"="&amp;TRUE,NFs!$B:$B,"&gt;="&amp;Tabela1[[#This Row],[mes]],NFs!$B:$B,"&lt;"&amp;ResumoMensal!A60)</f>
        <v>0</v>
      </c>
      <c r="G59" s="2">
        <f>SUM(Tabela1[[#This Row],[Nfs]:[Aluguel]])</f>
        <v>0</v>
      </c>
      <c r="H59" s="2">
        <f>SUMIFS(NFs!$D:$D,NFs!$H:$H,"="&amp;TRUE,NFs!$B:$B,"&gt;="&amp;Tabela1[[#This Row],[mes]],NFs!$B:$B,"&lt;"&amp;ResumoMensal!A60)</f>
        <v>0</v>
      </c>
      <c r="I59" s="2">
        <f>Tabela1[[#This Row],[Total]]*$B$2</f>
        <v>0</v>
      </c>
      <c r="J59" s="2">
        <f>Tabela1[[#This Row],[PIS]]-Tabela1[[#This Row],[Pis Ret]]</f>
        <v>0</v>
      </c>
      <c r="K59" s="2">
        <f>SUMIFS(NFs!$E:$E,NFs!$H:$H,"="&amp;TRUE,NFs!$B:$B,"&gt;="&amp;Tabela1[[#This Row],[mes]],NFs!$B:$B,"&lt;"&amp;ResumoMensal!A60)</f>
        <v>0</v>
      </c>
      <c r="L59" s="2">
        <f>Tabela1[[#This Row],[Total]]*$B$3</f>
        <v>0</v>
      </c>
      <c r="M59" s="2">
        <f>Tabela1[[#This Row],[Cofins]]-Tabela1[[#This Row],[Cofins Ret]]</f>
        <v>0</v>
      </c>
      <c r="N59" s="2">
        <f>SUMIFS(NFs!$F:$F,NFs!$H:$H,"="&amp;TRUE,NFs!$B:$B,"&gt;="&amp;Tabela1[[#This Row],[mes]],NFs!$B:$B,"&lt;"&amp;ResumoMensal!A60)</f>
        <v>0</v>
      </c>
      <c r="O59" s="2">
        <f>Tabela1[[#This Row],[Total]]*$B$4</f>
        <v>0</v>
      </c>
      <c r="P59" s="2">
        <f>Tabela1[[#This Row],[IR]]-Tabela1[[#This Row],[IR ret]]</f>
        <v>0</v>
      </c>
      <c r="Q59" s="2">
        <f>SUMIFS(NFs!$G:$G,NFs!$H:$H,"="&amp;TRUE,NFs!$B:$B,"&gt;="&amp;Tabela1[[#This Row],[mes]],NFs!$B:$B,"&lt;"&amp;ResumoMensal!A60)</f>
        <v>0</v>
      </c>
      <c r="R59" s="2">
        <f>Tabela1[[#This Row],[Total]]*$B$5</f>
        <v>0</v>
      </c>
      <c r="S59" s="2">
        <f>Tabela1[[#This Row],[CSLL]]-Tabela1[[#This Row],[CSLL Ret]]</f>
        <v>0</v>
      </c>
    </row>
    <row r="60" spans="1:19" x14ac:dyDescent="0.25">
      <c r="A60" s="9">
        <v>46905</v>
      </c>
      <c r="B60" s="2">
        <f>SUMIFS(NFs!$C:$C,NFs!$H:$H,"="&amp;TRUE,NFs!$B:$B,"&gt;="&amp;Tabela1[[#This Row],[mes]],NFs!$B:$B,"&lt;"&amp;ResumoMensal!A61)</f>
        <v>0</v>
      </c>
      <c r="G60" s="2">
        <f>SUM(Tabela1[[#This Row],[Nfs]:[Aluguel]])</f>
        <v>0</v>
      </c>
      <c r="H60" s="2">
        <f>SUMIFS(NFs!$D:$D,NFs!$H:$H,"="&amp;TRUE,NFs!$B:$B,"&gt;="&amp;Tabela1[[#This Row],[mes]],NFs!$B:$B,"&lt;"&amp;ResumoMensal!A61)</f>
        <v>0</v>
      </c>
      <c r="I60" s="2">
        <f>Tabela1[[#This Row],[Total]]*$B$2</f>
        <v>0</v>
      </c>
      <c r="J60" s="2">
        <f>Tabela1[[#This Row],[PIS]]-Tabela1[[#This Row],[Pis Ret]]</f>
        <v>0</v>
      </c>
      <c r="K60" s="2">
        <f>SUMIFS(NFs!$E:$E,NFs!$H:$H,"="&amp;TRUE,NFs!$B:$B,"&gt;="&amp;Tabela1[[#This Row],[mes]],NFs!$B:$B,"&lt;"&amp;ResumoMensal!A61)</f>
        <v>0</v>
      </c>
      <c r="L60" s="2">
        <f>Tabela1[[#This Row],[Total]]*$B$3</f>
        <v>0</v>
      </c>
      <c r="M60" s="2">
        <f>Tabela1[[#This Row],[Cofins]]-Tabela1[[#This Row],[Cofins Ret]]</f>
        <v>0</v>
      </c>
      <c r="N60" s="2">
        <f>SUMIFS(NFs!$F:$F,NFs!$H:$H,"="&amp;TRUE,NFs!$B:$B,"&gt;="&amp;Tabela1[[#This Row],[mes]],NFs!$B:$B,"&lt;"&amp;ResumoMensal!A61)</f>
        <v>0</v>
      </c>
      <c r="O60" s="2">
        <f>Tabela1[[#This Row],[Total]]*$B$4</f>
        <v>0</v>
      </c>
      <c r="P60" s="2">
        <f>Tabela1[[#This Row],[IR]]-Tabela1[[#This Row],[IR ret]]</f>
        <v>0</v>
      </c>
      <c r="Q60" s="2">
        <f>SUMIFS(NFs!$G:$G,NFs!$H:$H,"="&amp;TRUE,NFs!$B:$B,"&gt;="&amp;Tabela1[[#This Row],[mes]],NFs!$B:$B,"&lt;"&amp;ResumoMensal!A61)</f>
        <v>0</v>
      </c>
      <c r="R60" s="2">
        <f>Tabela1[[#This Row],[Total]]*$B$5</f>
        <v>0</v>
      </c>
      <c r="S60" s="2">
        <f>Tabela1[[#This Row],[CSLL]]-Tabela1[[#This Row],[CSLL Ret]]</f>
        <v>0</v>
      </c>
    </row>
    <row r="61" spans="1:19" x14ac:dyDescent="0.25">
      <c r="A61" s="9">
        <v>46935</v>
      </c>
      <c r="B61" s="2">
        <f>SUMIFS(NFs!$C:$C,NFs!$H:$H,"="&amp;TRUE,NFs!$B:$B,"&gt;="&amp;Tabela1[[#This Row],[mes]],NFs!$B:$B,"&lt;"&amp;ResumoMensal!A62)</f>
        <v>0</v>
      </c>
      <c r="G61" s="2">
        <f>SUM(Tabela1[[#This Row],[Nfs]:[Aluguel]])</f>
        <v>0</v>
      </c>
      <c r="H61" s="2">
        <f>SUMIFS(NFs!$D:$D,NFs!$H:$H,"="&amp;TRUE,NFs!$B:$B,"&gt;="&amp;Tabela1[[#This Row],[mes]],NFs!$B:$B,"&lt;"&amp;ResumoMensal!A62)</f>
        <v>0</v>
      </c>
      <c r="I61" s="2">
        <f>Tabela1[[#This Row],[Total]]*$B$2</f>
        <v>0</v>
      </c>
      <c r="J61" s="2">
        <f>Tabela1[[#This Row],[PIS]]-Tabela1[[#This Row],[Pis Ret]]</f>
        <v>0</v>
      </c>
      <c r="K61" s="2">
        <f>SUMIFS(NFs!$E:$E,NFs!$H:$H,"="&amp;TRUE,NFs!$B:$B,"&gt;="&amp;Tabela1[[#This Row],[mes]],NFs!$B:$B,"&lt;"&amp;ResumoMensal!A62)</f>
        <v>0</v>
      </c>
      <c r="L61" s="2">
        <f>Tabela1[[#This Row],[Total]]*$B$3</f>
        <v>0</v>
      </c>
      <c r="M61" s="2">
        <f>Tabela1[[#This Row],[Cofins]]-Tabela1[[#This Row],[Cofins Ret]]</f>
        <v>0</v>
      </c>
      <c r="N61" s="2">
        <f>SUMIFS(NFs!$F:$F,NFs!$H:$H,"="&amp;TRUE,NFs!$B:$B,"&gt;="&amp;Tabela1[[#This Row],[mes]],NFs!$B:$B,"&lt;"&amp;ResumoMensal!A62)</f>
        <v>0</v>
      </c>
      <c r="O61" s="2">
        <f>Tabela1[[#This Row],[Total]]*$B$4</f>
        <v>0</v>
      </c>
      <c r="P61" s="2">
        <f>Tabela1[[#This Row],[IR]]-Tabela1[[#This Row],[IR ret]]</f>
        <v>0</v>
      </c>
      <c r="Q61" s="2">
        <f>SUMIFS(NFs!$G:$G,NFs!$H:$H,"="&amp;TRUE,NFs!$B:$B,"&gt;="&amp;Tabela1[[#This Row],[mes]],NFs!$B:$B,"&lt;"&amp;ResumoMensal!A62)</f>
        <v>0</v>
      </c>
      <c r="R61" s="2">
        <f>Tabela1[[#This Row],[Total]]*$B$5</f>
        <v>0</v>
      </c>
      <c r="S61" s="2">
        <f>Tabela1[[#This Row],[CSLL]]-Tabela1[[#This Row],[CSLL Ret]]</f>
        <v>0</v>
      </c>
    </row>
    <row r="62" spans="1:19" x14ac:dyDescent="0.25">
      <c r="A62" s="9">
        <v>46966</v>
      </c>
      <c r="B62" s="2">
        <f>SUMIFS(NFs!$C:$C,NFs!$H:$H,"="&amp;TRUE,NFs!$B:$B,"&gt;="&amp;Tabela1[[#This Row],[mes]],NFs!$B:$B,"&lt;"&amp;ResumoMensal!A63)</f>
        <v>0</v>
      </c>
      <c r="G62" s="2">
        <f>SUM(Tabela1[[#This Row],[Nfs]:[Aluguel]])</f>
        <v>0</v>
      </c>
      <c r="H62" s="2">
        <f>SUMIFS(NFs!$D:$D,NFs!$H:$H,"="&amp;TRUE,NFs!$B:$B,"&gt;="&amp;Tabela1[[#This Row],[mes]],NFs!$B:$B,"&lt;"&amp;ResumoMensal!A63)</f>
        <v>0</v>
      </c>
      <c r="I62" s="2">
        <f>Tabela1[[#This Row],[Total]]*$B$2</f>
        <v>0</v>
      </c>
      <c r="J62" s="2">
        <f>Tabela1[[#This Row],[PIS]]-Tabela1[[#This Row],[Pis Ret]]</f>
        <v>0</v>
      </c>
      <c r="K62" s="2">
        <f>SUMIFS(NFs!$E:$E,NFs!$H:$H,"="&amp;TRUE,NFs!$B:$B,"&gt;="&amp;Tabela1[[#This Row],[mes]],NFs!$B:$B,"&lt;"&amp;ResumoMensal!A63)</f>
        <v>0</v>
      </c>
      <c r="L62" s="2">
        <f>Tabela1[[#This Row],[Total]]*$B$3</f>
        <v>0</v>
      </c>
      <c r="M62" s="2">
        <f>Tabela1[[#This Row],[Cofins]]-Tabela1[[#This Row],[Cofins Ret]]</f>
        <v>0</v>
      </c>
      <c r="N62" s="2">
        <f>SUMIFS(NFs!$F:$F,NFs!$H:$H,"="&amp;TRUE,NFs!$B:$B,"&gt;="&amp;Tabela1[[#This Row],[mes]],NFs!$B:$B,"&lt;"&amp;ResumoMensal!A63)</f>
        <v>0</v>
      </c>
      <c r="O62" s="2">
        <f>Tabela1[[#This Row],[Total]]*$B$4</f>
        <v>0</v>
      </c>
      <c r="P62" s="2">
        <f>Tabela1[[#This Row],[IR]]-Tabela1[[#This Row],[IR ret]]</f>
        <v>0</v>
      </c>
      <c r="Q62" s="2">
        <f>SUMIFS(NFs!$G:$G,NFs!$H:$H,"="&amp;TRUE,NFs!$B:$B,"&gt;="&amp;Tabela1[[#This Row],[mes]],NFs!$B:$B,"&lt;"&amp;ResumoMensal!A63)</f>
        <v>0</v>
      </c>
      <c r="R62" s="2">
        <f>Tabela1[[#This Row],[Total]]*$B$5</f>
        <v>0</v>
      </c>
      <c r="S62" s="2">
        <f>Tabela1[[#This Row],[CSLL]]-Tabela1[[#This Row],[CSLL Ret]]</f>
        <v>0</v>
      </c>
    </row>
    <row r="63" spans="1:19" x14ac:dyDescent="0.25">
      <c r="A63" s="9">
        <v>46997</v>
      </c>
      <c r="B63" s="2">
        <f>SUMIFS(NFs!$C:$C,NFs!$H:$H,"="&amp;TRUE,NFs!$B:$B,"&gt;="&amp;Tabela1[[#This Row],[mes]],NFs!$B:$B,"&lt;"&amp;ResumoMensal!A64)</f>
        <v>0</v>
      </c>
      <c r="G63" s="2">
        <f>SUM(Tabela1[[#This Row],[Nfs]:[Aluguel]])</f>
        <v>0</v>
      </c>
      <c r="H63" s="2">
        <f>SUMIFS(NFs!$D:$D,NFs!$H:$H,"="&amp;TRUE,NFs!$B:$B,"&gt;="&amp;Tabela1[[#This Row],[mes]],NFs!$B:$B,"&lt;"&amp;ResumoMensal!A64)</f>
        <v>0</v>
      </c>
      <c r="I63" s="2">
        <f>Tabela1[[#This Row],[Total]]*$B$2</f>
        <v>0</v>
      </c>
      <c r="J63" s="2">
        <f>Tabela1[[#This Row],[PIS]]-Tabela1[[#This Row],[Pis Ret]]</f>
        <v>0</v>
      </c>
      <c r="K63" s="2">
        <f>SUMIFS(NFs!$E:$E,NFs!$H:$H,"="&amp;TRUE,NFs!$B:$B,"&gt;="&amp;Tabela1[[#This Row],[mes]],NFs!$B:$B,"&lt;"&amp;ResumoMensal!A64)</f>
        <v>0</v>
      </c>
      <c r="L63" s="2">
        <f>Tabela1[[#This Row],[Total]]*$B$3</f>
        <v>0</v>
      </c>
      <c r="M63" s="2">
        <f>Tabela1[[#This Row],[Cofins]]-Tabela1[[#This Row],[Cofins Ret]]</f>
        <v>0</v>
      </c>
      <c r="N63" s="2">
        <f>SUMIFS(NFs!$F:$F,NFs!$H:$H,"="&amp;TRUE,NFs!$B:$B,"&gt;="&amp;Tabela1[[#This Row],[mes]],NFs!$B:$B,"&lt;"&amp;ResumoMensal!A64)</f>
        <v>0</v>
      </c>
      <c r="O63" s="2">
        <f>Tabela1[[#This Row],[Total]]*$B$4</f>
        <v>0</v>
      </c>
      <c r="P63" s="2">
        <f>Tabela1[[#This Row],[IR]]-Tabela1[[#This Row],[IR ret]]</f>
        <v>0</v>
      </c>
      <c r="Q63" s="2">
        <f>SUMIFS(NFs!$G:$G,NFs!$H:$H,"="&amp;TRUE,NFs!$B:$B,"&gt;="&amp;Tabela1[[#This Row],[mes]],NFs!$B:$B,"&lt;"&amp;ResumoMensal!A64)</f>
        <v>0</v>
      </c>
      <c r="R63" s="2">
        <f>Tabela1[[#This Row],[Total]]*$B$5</f>
        <v>0</v>
      </c>
      <c r="S63" s="2">
        <f>Tabela1[[#This Row],[CSLL]]-Tabela1[[#This Row],[CSLL Ret]]</f>
        <v>0</v>
      </c>
    </row>
    <row r="64" spans="1:19" x14ac:dyDescent="0.25">
      <c r="A64" s="9">
        <v>47027</v>
      </c>
      <c r="B64" s="2">
        <f>SUMIFS(NFs!$C:$C,NFs!$H:$H,"="&amp;TRUE,NFs!$B:$B,"&gt;="&amp;Tabela1[[#This Row],[mes]],NFs!$B:$B,"&lt;"&amp;ResumoMensal!A65)</f>
        <v>0</v>
      </c>
      <c r="G64" s="2">
        <f>SUM(Tabela1[[#This Row],[Nfs]:[Aluguel]])</f>
        <v>0</v>
      </c>
      <c r="H64" s="2">
        <f>SUMIFS(NFs!$D:$D,NFs!$H:$H,"="&amp;TRUE,NFs!$B:$B,"&gt;="&amp;Tabela1[[#This Row],[mes]],NFs!$B:$B,"&lt;"&amp;ResumoMensal!A65)</f>
        <v>0</v>
      </c>
      <c r="I64" s="2">
        <f>Tabela1[[#This Row],[Total]]*$B$2</f>
        <v>0</v>
      </c>
      <c r="J64" s="2">
        <f>Tabela1[[#This Row],[PIS]]-Tabela1[[#This Row],[Pis Ret]]</f>
        <v>0</v>
      </c>
      <c r="K64" s="2">
        <f>SUMIFS(NFs!$E:$E,NFs!$H:$H,"="&amp;TRUE,NFs!$B:$B,"&gt;="&amp;Tabela1[[#This Row],[mes]],NFs!$B:$B,"&lt;"&amp;ResumoMensal!A65)</f>
        <v>0</v>
      </c>
      <c r="L64" s="2">
        <f>Tabela1[[#This Row],[Total]]*$B$3</f>
        <v>0</v>
      </c>
      <c r="M64" s="2">
        <f>Tabela1[[#This Row],[Cofins]]-Tabela1[[#This Row],[Cofins Ret]]</f>
        <v>0</v>
      </c>
      <c r="N64" s="2">
        <f>SUMIFS(NFs!$F:$F,NFs!$H:$H,"="&amp;TRUE,NFs!$B:$B,"&gt;="&amp;Tabela1[[#This Row],[mes]],NFs!$B:$B,"&lt;"&amp;ResumoMensal!A65)</f>
        <v>0</v>
      </c>
      <c r="O64" s="2">
        <f>Tabela1[[#This Row],[Total]]*$B$4</f>
        <v>0</v>
      </c>
      <c r="P64" s="2">
        <f>Tabela1[[#This Row],[IR]]-Tabela1[[#This Row],[IR ret]]</f>
        <v>0</v>
      </c>
      <c r="Q64" s="2">
        <f>SUMIFS(NFs!$G:$G,NFs!$H:$H,"="&amp;TRUE,NFs!$B:$B,"&gt;="&amp;Tabela1[[#This Row],[mes]],NFs!$B:$B,"&lt;"&amp;ResumoMensal!A65)</f>
        <v>0</v>
      </c>
      <c r="R64" s="2">
        <f>Tabela1[[#This Row],[Total]]*$B$5</f>
        <v>0</v>
      </c>
      <c r="S64" s="2">
        <f>Tabela1[[#This Row],[CSLL]]-Tabela1[[#This Row],[CSLL Ret]]</f>
        <v>0</v>
      </c>
    </row>
    <row r="65" spans="1:19" x14ac:dyDescent="0.25">
      <c r="A65" s="9">
        <v>47058</v>
      </c>
      <c r="B65" s="2">
        <f>SUMIFS(NFs!$C:$C,NFs!$H:$H,"="&amp;TRUE,NFs!$B:$B,"&gt;="&amp;Tabela1[[#This Row],[mes]],NFs!$B:$B,"&lt;"&amp;ResumoMensal!A66)</f>
        <v>0</v>
      </c>
      <c r="G65" s="2">
        <f>SUM(Tabela1[[#This Row],[Nfs]:[Aluguel]])</f>
        <v>0</v>
      </c>
      <c r="H65" s="2">
        <f>SUMIFS(NFs!$D:$D,NFs!$H:$H,"="&amp;TRUE,NFs!$B:$B,"&gt;="&amp;Tabela1[[#This Row],[mes]],NFs!$B:$B,"&lt;"&amp;ResumoMensal!A66)</f>
        <v>0</v>
      </c>
      <c r="I65" s="2">
        <f>Tabela1[[#This Row],[Total]]*$B$2</f>
        <v>0</v>
      </c>
      <c r="J65" s="2">
        <f>Tabela1[[#This Row],[PIS]]-Tabela1[[#This Row],[Pis Ret]]</f>
        <v>0</v>
      </c>
      <c r="K65" s="2">
        <f>SUMIFS(NFs!$E:$E,NFs!$H:$H,"="&amp;TRUE,NFs!$B:$B,"&gt;="&amp;Tabela1[[#This Row],[mes]],NFs!$B:$B,"&lt;"&amp;ResumoMensal!A66)</f>
        <v>0</v>
      </c>
      <c r="L65" s="2">
        <f>Tabela1[[#This Row],[Total]]*$B$3</f>
        <v>0</v>
      </c>
      <c r="M65" s="2">
        <f>Tabela1[[#This Row],[Cofins]]-Tabela1[[#This Row],[Cofins Ret]]</f>
        <v>0</v>
      </c>
      <c r="N65" s="2">
        <f>SUMIFS(NFs!$F:$F,NFs!$H:$H,"="&amp;TRUE,NFs!$B:$B,"&gt;="&amp;Tabela1[[#This Row],[mes]],NFs!$B:$B,"&lt;"&amp;ResumoMensal!A66)</f>
        <v>0</v>
      </c>
      <c r="O65" s="2">
        <f>Tabela1[[#This Row],[Total]]*$B$4</f>
        <v>0</v>
      </c>
      <c r="P65" s="2">
        <f>Tabela1[[#This Row],[IR]]-Tabela1[[#This Row],[IR ret]]</f>
        <v>0</v>
      </c>
      <c r="Q65" s="2">
        <f>SUMIFS(NFs!$G:$G,NFs!$H:$H,"="&amp;TRUE,NFs!$B:$B,"&gt;="&amp;Tabela1[[#This Row],[mes]],NFs!$B:$B,"&lt;"&amp;ResumoMensal!A66)</f>
        <v>0</v>
      </c>
      <c r="R65" s="2">
        <f>Tabela1[[#This Row],[Total]]*$B$5</f>
        <v>0</v>
      </c>
      <c r="S65" s="2">
        <f>Tabela1[[#This Row],[CSLL]]-Tabela1[[#This Row],[CSLL Ret]]</f>
        <v>0</v>
      </c>
    </row>
    <row r="66" spans="1:19" x14ac:dyDescent="0.25">
      <c r="A66" s="9">
        <v>47088</v>
      </c>
      <c r="B66" s="2">
        <f>SUMIFS(NFs!$C:$C,NFs!$H:$H,"="&amp;TRUE,NFs!$B:$B,"&gt;="&amp;Tabela1[[#This Row],[mes]],NFs!$B:$B,"&lt;"&amp;ResumoMensal!A67)</f>
        <v>0</v>
      </c>
      <c r="G66" s="2">
        <f>SUM(Tabela1[[#This Row],[Nfs]:[Aluguel]])</f>
        <v>0</v>
      </c>
      <c r="H66" s="2">
        <f>SUMIFS(NFs!$D:$D,NFs!$H:$H,"="&amp;TRUE,NFs!$B:$B,"&gt;="&amp;Tabela1[[#This Row],[mes]],NFs!$B:$B,"&lt;"&amp;ResumoMensal!A67)</f>
        <v>0</v>
      </c>
      <c r="I66" s="2">
        <f>Tabela1[[#This Row],[Total]]*$B$2</f>
        <v>0</v>
      </c>
      <c r="J66" s="2">
        <f>Tabela1[[#This Row],[PIS]]-Tabela1[[#This Row],[Pis Ret]]</f>
        <v>0</v>
      </c>
      <c r="K66" s="2">
        <f>SUMIFS(NFs!$E:$E,NFs!$H:$H,"="&amp;TRUE,NFs!$B:$B,"&gt;="&amp;Tabela1[[#This Row],[mes]],NFs!$B:$B,"&lt;"&amp;ResumoMensal!A67)</f>
        <v>0</v>
      </c>
      <c r="L66" s="2">
        <f>Tabela1[[#This Row],[Total]]*$B$3</f>
        <v>0</v>
      </c>
      <c r="M66" s="2">
        <f>Tabela1[[#This Row],[Cofins]]-Tabela1[[#This Row],[Cofins Ret]]</f>
        <v>0</v>
      </c>
      <c r="N66" s="2">
        <f>SUMIFS(NFs!$F:$F,NFs!$H:$H,"="&amp;TRUE,NFs!$B:$B,"&gt;="&amp;Tabela1[[#This Row],[mes]],NFs!$B:$B,"&lt;"&amp;ResumoMensal!A67)</f>
        <v>0</v>
      </c>
      <c r="O66" s="2">
        <f>Tabela1[[#This Row],[Total]]*$B$4</f>
        <v>0</v>
      </c>
      <c r="P66" s="2">
        <f>Tabela1[[#This Row],[IR]]-Tabela1[[#This Row],[IR ret]]</f>
        <v>0</v>
      </c>
      <c r="Q66" s="2">
        <f>SUMIFS(NFs!$G:$G,NFs!$H:$H,"="&amp;TRUE,NFs!$B:$B,"&gt;="&amp;Tabela1[[#This Row],[mes]],NFs!$B:$B,"&lt;"&amp;ResumoMensal!A67)</f>
        <v>0</v>
      </c>
      <c r="R66" s="2">
        <f>Tabela1[[#This Row],[Total]]*$B$5</f>
        <v>0</v>
      </c>
      <c r="S66" s="2">
        <f>Tabela1[[#This Row],[CSLL]]-Tabela1[[#This Row],[CSLL Ret]]</f>
        <v>0</v>
      </c>
    </row>
    <row r="67" spans="1:19" x14ac:dyDescent="0.25">
      <c r="A67" s="9">
        <v>47119</v>
      </c>
      <c r="B67" s="2">
        <f>SUMIFS(NFs!$C:$C,NFs!$H:$H,"="&amp;TRUE,NFs!$B:$B,"&gt;="&amp;Tabela1[[#This Row],[mes]],NFs!$B:$B,"&lt;"&amp;ResumoMensal!A68)</f>
        <v>0</v>
      </c>
      <c r="G67" s="2">
        <f>SUM(Tabela1[[#This Row],[Nfs]:[Aluguel]])</f>
        <v>0</v>
      </c>
      <c r="H67" s="2">
        <f>SUMIFS(NFs!$D:$D,NFs!$H:$H,"="&amp;TRUE,NFs!$B:$B,"&gt;="&amp;Tabela1[[#This Row],[mes]],NFs!$B:$B,"&lt;"&amp;ResumoMensal!A68)</f>
        <v>0</v>
      </c>
      <c r="I67" s="2">
        <f>Tabela1[[#This Row],[Total]]*$B$2</f>
        <v>0</v>
      </c>
      <c r="J67" s="2">
        <f>Tabela1[[#This Row],[PIS]]-Tabela1[[#This Row],[Pis Ret]]</f>
        <v>0</v>
      </c>
      <c r="K67" s="2">
        <f>SUMIFS(NFs!$E:$E,NFs!$H:$H,"="&amp;TRUE,NFs!$B:$B,"&gt;="&amp;Tabela1[[#This Row],[mes]],NFs!$B:$B,"&lt;"&amp;ResumoMensal!A68)</f>
        <v>0</v>
      </c>
      <c r="L67" s="2">
        <f>Tabela1[[#This Row],[Total]]*$B$3</f>
        <v>0</v>
      </c>
      <c r="M67" s="2">
        <f>Tabela1[[#This Row],[Cofins]]-Tabela1[[#This Row],[Cofins Ret]]</f>
        <v>0</v>
      </c>
      <c r="N67" s="2">
        <f>SUMIFS(NFs!$F:$F,NFs!$H:$H,"="&amp;TRUE,NFs!$B:$B,"&gt;="&amp;Tabela1[[#This Row],[mes]],NFs!$B:$B,"&lt;"&amp;ResumoMensal!A68)</f>
        <v>0</v>
      </c>
      <c r="O67" s="2">
        <f>Tabela1[[#This Row],[Total]]*$B$4</f>
        <v>0</v>
      </c>
      <c r="P67" s="2">
        <f>Tabela1[[#This Row],[IR]]-Tabela1[[#This Row],[IR ret]]</f>
        <v>0</v>
      </c>
      <c r="Q67" s="2">
        <f>SUMIFS(NFs!$G:$G,NFs!$H:$H,"="&amp;TRUE,NFs!$B:$B,"&gt;="&amp;Tabela1[[#This Row],[mes]],NFs!$B:$B,"&lt;"&amp;ResumoMensal!A68)</f>
        <v>0</v>
      </c>
      <c r="R67" s="2">
        <f>Tabela1[[#This Row],[Total]]*$B$5</f>
        <v>0</v>
      </c>
      <c r="S67" s="2">
        <f>Tabela1[[#This Row],[CSLL]]-Tabela1[[#This Row],[CSLL Ret]]</f>
        <v>0</v>
      </c>
    </row>
    <row r="68" spans="1:19" x14ac:dyDescent="0.25">
      <c r="A68" s="9">
        <v>47150</v>
      </c>
      <c r="B68" s="2">
        <f>SUMIFS(NFs!$C:$C,NFs!$H:$H,"="&amp;TRUE,NFs!$B:$B,"&gt;="&amp;Tabela1[[#This Row],[mes]],NFs!$B:$B,"&lt;"&amp;ResumoMensal!A69)</f>
        <v>0</v>
      </c>
      <c r="G68" s="2">
        <f>SUM(Tabela1[[#This Row],[Nfs]:[Aluguel]])</f>
        <v>0</v>
      </c>
      <c r="H68" s="2">
        <f>SUMIFS(NFs!$D:$D,NFs!$H:$H,"="&amp;TRUE,NFs!$B:$B,"&gt;="&amp;Tabela1[[#This Row],[mes]],NFs!$B:$B,"&lt;"&amp;ResumoMensal!A69)</f>
        <v>0</v>
      </c>
      <c r="I68" s="2">
        <f>Tabela1[[#This Row],[Total]]*$B$2</f>
        <v>0</v>
      </c>
      <c r="J68" s="2">
        <f>Tabela1[[#This Row],[PIS]]-Tabela1[[#This Row],[Pis Ret]]</f>
        <v>0</v>
      </c>
      <c r="K68" s="2">
        <f>SUMIFS(NFs!$E:$E,NFs!$H:$H,"="&amp;TRUE,NFs!$B:$B,"&gt;="&amp;Tabela1[[#This Row],[mes]],NFs!$B:$B,"&lt;"&amp;ResumoMensal!A69)</f>
        <v>0</v>
      </c>
      <c r="L68" s="2">
        <f>Tabela1[[#This Row],[Total]]*$B$3</f>
        <v>0</v>
      </c>
      <c r="M68" s="2">
        <f>Tabela1[[#This Row],[Cofins]]-Tabela1[[#This Row],[Cofins Ret]]</f>
        <v>0</v>
      </c>
      <c r="N68" s="2">
        <f>SUMIFS(NFs!$F:$F,NFs!$H:$H,"="&amp;TRUE,NFs!$B:$B,"&gt;="&amp;Tabela1[[#This Row],[mes]],NFs!$B:$B,"&lt;"&amp;ResumoMensal!A69)</f>
        <v>0</v>
      </c>
      <c r="O68" s="2">
        <f>Tabela1[[#This Row],[Total]]*$B$4</f>
        <v>0</v>
      </c>
      <c r="P68" s="2">
        <f>Tabela1[[#This Row],[IR]]-Tabela1[[#This Row],[IR ret]]</f>
        <v>0</v>
      </c>
      <c r="Q68" s="2">
        <f>SUMIFS(NFs!$G:$G,NFs!$H:$H,"="&amp;TRUE,NFs!$B:$B,"&gt;="&amp;Tabela1[[#This Row],[mes]],NFs!$B:$B,"&lt;"&amp;ResumoMensal!A69)</f>
        <v>0</v>
      </c>
      <c r="R68" s="2">
        <f>Tabela1[[#This Row],[Total]]*$B$5</f>
        <v>0</v>
      </c>
      <c r="S68" s="2">
        <f>Tabela1[[#This Row],[CSLL]]-Tabela1[[#This Row],[CSLL Ret]]</f>
        <v>0</v>
      </c>
    </row>
    <row r="69" spans="1:19" x14ac:dyDescent="0.25">
      <c r="A69" s="9">
        <v>47178</v>
      </c>
      <c r="B69" s="2">
        <f>SUMIFS(NFs!$C:$C,NFs!$H:$H,"="&amp;TRUE,NFs!$B:$B,"&gt;="&amp;Tabela1[[#This Row],[mes]],NFs!$B:$B,"&lt;"&amp;ResumoMensal!A70)</f>
        <v>0</v>
      </c>
      <c r="G69" s="2">
        <f>SUM(Tabela1[[#This Row],[Nfs]:[Aluguel]])</f>
        <v>0</v>
      </c>
      <c r="H69" s="2">
        <f>SUMIFS(NFs!$D:$D,NFs!$H:$H,"="&amp;TRUE,NFs!$B:$B,"&gt;="&amp;Tabela1[[#This Row],[mes]],NFs!$B:$B,"&lt;"&amp;ResumoMensal!A70)</f>
        <v>0</v>
      </c>
      <c r="I69" s="2">
        <f>Tabela1[[#This Row],[Total]]*$B$2</f>
        <v>0</v>
      </c>
      <c r="J69" s="2">
        <f>Tabela1[[#This Row],[PIS]]-Tabela1[[#This Row],[Pis Ret]]</f>
        <v>0</v>
      </c>
      <c r="K69" s="2">
        <f>SUMIFS(NFs!$E:$E,NFs!$H:$H,"="&amp;TRUE,NFs!$B:$B,"&gt;="&amp;Tabela1[[#This Row],[mes]],NFs!$B:$B,"&lt;"&amp;ResumoMensal!A70)</f>
        <v>0</v>
      </c>
      <c r="L69" s="2">
        <f>Tabela1[[#This Row],[Total]]*$B$3</f>
        <v>0</v>
      </c>
      <c r="M69" s="2">
        <f>Tabela1[[#This Row],[Cofins]]-Tabela1[[#This Row],[Cofins Ret]]</f>
        <v>0</v>
      </c>
      <c r="N69" s="2">
        <f>SUMIFS(NFs!$F:$F,NFs!$H:$H,"="&amp;TRUE,NFs!$B:$B,"&gt;="&amp;Tabela1[[#This Row],[mes]],NFs!$B:$B,"&lt;"&amp;ResumoMensal!A70)</f>
        <v>0</v>
      </c>
      <c r="O69" s="2">
        <f>Tabela1[[#This Row],[Total]]*$B$4</f>
        <v>0</v>
      </c>
      <c r="P69" s="2">
        <f>Tabela1[[#This Row],[IR]]-Tabela1[[#This Row],[IR ret]]</f>
        <v>0</v>
      </c>
      <c r="Q69" s="2">
        <f>SUMIFS(NFs!$G:$G,NFs!$H:$H,"="&amp;TRUE,NFs!$B:$B,"&gt;="&amp;Tabela1[[#This Row],[mes]],NFs!$B:$B,"&lt;"&amp;ResumoMensal!A70)</f>
        <v>0</v>
      </c>
      <c r="R69" s="2">
        <f>Tabela1[[#This Row],[Total]]*$B$5</f>
        <v>0</v>
      </c>
      <c r="S69" s="2">
        <f>Tabela1[[#This Row],[CSLL]]-Tabela1[[#This Row],[CSLL Ret]]</f>
        <v>0</v>
      </c>
    </row>
    <row r="70" spans="1:19" x14ac:dyDescent="0.25">
      <c r="A70" s="9">
        <v>47209</v>
      </c>
      <c r="B70" s="2">
        <f>SUMIFS(NFs!$C:$C,NFs!$H:$H,"="&amp;TRUE,NFs!$B:$B,"&gt;="&amp;Tabela1[[#This Row],[mes]],NFs!$B:$B,"&lt;"&amp;ResumoMensal!A71)</f>
        <v>0</v>
      </c>
      <c r="G70" s="2">
        <f>SUM(Tabela1[[#This Row],[Nfs]:[Aluguel]])</f>
        <v>0</v>
      </c>
      <c r="H70" s="2">
        <f>SUMIFS(NFs!$D:$D,NFs!$H:$H,"="&amp;TRUE,NFs!$B:$B,"&gt;="&amp;Tabela1[[#This Row],[mes]],NFs!$B:$B,"&lt;"&amp;ResumoMensal!A71)</f>
        <v>0</v>
      </c>
      <c r="I70" s="2">
        <f>Tabela1[[#This Row],[Total]]*$B$2</f>
        <v>0</v>
      </c>
      <c r="J70" s="2">
        <f>Tabela1[[#This Row],[PIS]]-Tabela1[[#This Row],[Pis Ret]]</f>
        <v>0</v>
      </c>
      <c r="K70" s="2">
        <f>SUMIFS(NFs!$E:$E,NFs!$H:$H,"="&amp;TRUE,NFs!$B:$B,"&gt;="&amp;Tabela1[[#This Row],[mes]],NFs!$B:$B,"&lt;"&amp;ResumoMensal!A71)</f>
        <v>0</v>
      </c>
      <c r="L70" s="2">
        <f>Tabela1[[#This Row],[Total]]*$B$3</f>
        <v>0</v>
      </c>
      <c r="M70" s="2">
        <f>Tabela1[[#This Row],[Cofins]]-Tabela1[[#This Row],[Cofins Ret]]</f>
        <v>0</v>
      </c>
      <c r="N70" s="2">
        <f>SUMIFS(NFs!$F:$F,NFs!$H:$H,"="&amp;TRUE,NFs!$B:$B,"&gt;="&amp;Tabela1[[#This Row],[mes]],NFs!$B:$B,"&lt;"&amp;ResumoMensal!A71)</f>
        <v>0</v>
      </c>
      <c r="O70" s="2">
        <f>Tabela1[[#This Row],[Total]]*$B$4</f>
        <v>0</v>
      </c>
      <c r="P70" s="2">
        <f>Tabela1[[#This Row],[IR]]-Tabela1[[#This Row],[IR ret]]</f>
        <v>0</v>
      </c>
      <c r="Q70" s="2">
        <f>SUMIFS(NFs!$G:$G,NFs!$H:$H,"="&amp;TRUE,NFs!$B:$B,"&gt;="&amp;Tabela1[[#This Row],[mes]],NFs!$B:$B,"&lt;"&amp;ResumoMensal!A71)</f>
        <v>0</v>
      </c>
      <c r="R70" s="2">
        <f>Tabela1[[#This Row],[Total]]*$B$5</f>
        <v>0</v>
      </c>
      <c r="S70" s="2">
        <f>Tabela1[[#This Row],[CSLL]]-Tabela1[[#This Row],[CSLL Ret]]</f>
        <v>0</v>
      </c>
    </row>
    <row r="71" spans="1:19" x14ac:dyDescent="0.25">
      <c r="A71" s="9">
        <v>47239</v>
      </c>
      <c r="B71" s="2">
        <f>SUMIFS(NFs!$C:$C,NFs!$H:$H,"="&amp;TRUE,NFs!$B:$B,"&gt;="&amp;Tabela1[[#This Row],[mes]],NFs!$B:$B,"&lt;"&amp;ResumoMensal!A72)</f>
        <v>0</v>
      </c>
      <c r="G71" s="2">
        <f>SUM(Tabela1[[#This Row],[Nfs]:[Aluguel]])</f>
        <v>0</v>
      </c>
      <c r="H71" s="2">
        <f>SUMIFS(NFs!$D:$D,NFs!$H:$H,"="&amp;TRUE,NFs!$B:$B,"&gt;="&amp;Tabela1[[#This Row],[mes]],NFs!$B:$B,"&lt;"&amp;ResumoMensal!A72)</f>
        <v>0</v>
      </c>
      <c r="I71" s="2">
        <f>Tabela1[[#This Row],[Total]]*$B$2</f>
        <v>0</v>
      </c>
      <c r="J71" s="2">
        <f>Tabela1[[#This Row],[PIS]]-Tabela1[[#This Row],[Pis Ret]]</f>
        <v>0</v>
      </c>
      <c r="K71" s="2">
        <f>SUMIFS(NFs!$E:$E,NFs!$H:$H,"="&amp;TRUE,NFs!$B:$B,"&gt;="&amp;Tabela1[[#This Row],[mes]],NFs!$B:$B,"&lt;"&amp;ResumoMensal!A72)</f>
        <v>0</v>
      </c>
      <c r="L71" s="2">
        <f>Tabela1[[#This Row],[Total]]*$B$3</f>
        <v>0</v>
      </c>
      <c r="M71" s="2">
        <f>Tabela1[[#This Row],[Cofins]]-Tabela1[[#This Row],[Cofins Ret]]</f>
        <v>0</v>
      </c>
      <c r="N71" s="2">
        <f>SUMIFS(NFs!$F:$F,NFs!$H:$H,"="&amp;TRUE,NFs!$B:$B,"&gt;="&amp;Tabela1[[#This Row],[mes]],NFs!$B:$B,"&lt;"&amp;ResumoMensal!A72)</f>
        <v>0</v>
      </c>
      <c r="O71" s="2">
        <f>Tabela1[[#This Row],[Total]]*$B$4</f>
        <v>0</v>
      </c>
      <c r="P71" s="2">
        <f>Tabela1[[#This Row],[IR]]-Tabela1[[#This Row],[IR ret]]</f>
        <v>0</v>
      </c>
      <c r="Q71" s="2">
        <f>SUMIFS(NFs!$G:$G,NFs!$H:$H,"="&amp;TRUE,NFs!$B:$B,"&gt;="&amp;Tabela1[[#This Row],[mes]],NFs!$B:$B,"&lt;"&amp;ResumoMensal!A72)</f>
        <v>0</v>
      </c>
      <c r="R71" s="2">
        <f>Tabela1[[#This Row],[Total]]*$B$5</f>
        <v>0</v>
      </c>
      <c r="S71" s="2">
        <f>Tabela1[[#This Row],[CSLL]]-Tabela1[[#This Row],[CSLL Ret]]</f>
        <v>0</v>
      </c>
    </row>
    <row r="72" spans="1:19" x14ac:dyDescent="0.25">
      <c r="A72" s="9">
        <v>47270</v>
      </c>
      <c r="B72" s="2">
        <f>SUMIFS(NFs!$C:$C,NFs!$H:$H,"="&amp;TRUE,NFs!$B:$B,"&gt;="&amp;Tabela1[[#This Row],[mes]],NFs!$B:$B,"&lt;"&amp;ResumoMensal!A73)</f>
        <v>0</v>
      </c>
      <c r="G72" s="2">
        <f>SUM(Tabela1[[#This Row],[Nfs]:[Aluguel]])</f>
        <v>0</v>
      </c>
      <c r="H72" s="2">
        <f>SUMIFS(NFs!$D:$D,NFs!$H:$H,"="&amp;TRUE,NFs!$B:$B,"&gt;="&amp;Tabela1[[#This Row],[mes]],NFs!$B:$B,"&lt;"&amp;ResumoMensal!A73)</f>
        <v>0</v>
      </c>
      <c r="I72" s="2">
        <f>Tabela1[[#This Row],[Total]]*$B$2</f>
        <v>0</v>
      </c>
      <c r="J72" s="2">
        <f>Tabela1[[#This Row],[PIS]]-Tabela1[[#This Row],[Pis Ret]]</f>
        <v>0</v>
      </c>
      <c r="K72" s="2">
        <f>SUMIFS(NFs!$E:$E,NFs!$H:$H,"="&amp;TRUE,NFs!$B:$B,"&gt;="&amp;Tabela1[[#This Row],[mes]],NFs!$B:$B,"&lt;"&amp;ResumoMensal!A73)</f>
        <v>0</v>
      </c>
      <c r="L72" s="2">
        <f>Tabela1[[#This Row],[Total]]*$B$3</f>
        <v>0</v>
      </c>
      <c r="M72" s="2">
        <f>Tabela1[[#This Row],[Cofins]]-Tabela1[[#This Row],[Cofins Ret]]</f>
        <v>0</v>
      </c>
      <c r="N72" s="2">
        <f>SUMIFS(NFs!$F:$F,NFs!$H:$H,"="&amp;TRUE,NFs!$B:$B,"&gt;="&amp;Tabela1[[#This Row],[mes]],NFs!$B:$B,"&lt;"&amp;ResumoMensal!A73)</f>
        <v>0</v>
      </c>
      <c r="O72" s="2">
        <f>Tabela1[[#This Row],[Total]]*$B$4</f>
        <v>0</v>
      </c>
      <c r="P72" s="2">
        <f>Tabela1[[#This Row],[IR]]-Tabela1[[#This Row],[IR ret]]</f>
        <v>0</v>
      </c>
      <c r="Q72" s="2">
        <f>SUMIFS(NFs!$G:$G,NFs!$H:$H,"="&amp;TRUE,NFs!$B:$B,"&gt;="&amp;Tabela1[[#This Row],[mes]],NFs!$B:$B,"&lt;"&amp;ResumoMensal!A73)</f>
        <v>0</v>
      </c>
      <c r="R72" s="2">
        <f>Tabela1[[#This Row],[Total]]*$B$5</f>
        <v>0</v>
      </c>
      <c r="S72" s="2">
        <f>Tabela1[[#This Row],[CSLL]]-Tabela1[[#This Row],[CSLL Ret]]</f>
        <v>0</v>
      </c>
    </row>
    <row r="73" spans="1:19" x14ac:dyDescent="0.25">
      <c r="A73" s="9">
        <v>47300</v>
      </c>
      <c r="B73" s="2">
        <f>SUMIFS(NFs!$C:$C,NFs!$H:$H,"="&amp;TRUE,NFs!$B:$B,"&gt;="&amp;Tabela1[[#This Row],[mes]],NFs!$B:$B,"&lt;"&amp;ResumoMensal!A74)</f>
        <v>0</v>
      </c>
      <c r="G73" s="2">
        <f>SUM(Tabela1[[#This Row],[Nfs]:[Aluguel]])</f>
        <v>0</v>
      </c>
      <c r="H73" s="2">
        <f>SUMIFS(NFs!$D:$D,NFs!$H:$H,"="&amp;TRUE,NFs!$B:$B,"&gt;="&amp;Tabela1[[#This Row],[mes]],NFs!$B:$B,"&lt;"&amp;ResumoMensal!A74)</f>
        <v>0</v>
      </c>
      <c r="I73" s="2">
        <f>Tabela1[[#This Row],[Total]]*$B$2</f>
        <v>0</v>
      </c>
      <c r="J73" s="2">
        <f>Tabela1[[#This Row],[PIS]]-Tabela1[[#This Row],[Pis Ret]]</f>
        <v>0</v>
      </c>
      <c r="K73" s="2">
        <f>SUMIFS(NFs!$E:$E,NFs!$H:$H,"="&amp;TRUE,NFs!$B:$B,"&gt;="&amp;Tabela1[[#This Row],[mes]],NFs!$B:$B,"&lt;"&amp;ResumoMensal!A74)</f>
        <v>0</v>
      </c>
      <c r="L73" s="2">
        <f>Tabela1[[#This Row],[Total]]*$B$3</f>
        <v>0</v>
      </c>
      <c r="M73" s="2">
        <f>Tabela1[[#This Row],[Cofins]]-Tabela1[[#This Row],[Cofins Ret]]</f>
        <v>0</v>
      </c>
      <c r="N73" s="2">
        <f>SUMIFS(NFs!$F:$F,NFs!$H:$H,"="&amp;TRUE,NFs!$B:$B,"&gt;="&amp;Tabela1[[#This Row],[mes]],NFs!$B:$B,"&lt;"&amp;ResumoMensal!A74)</f>
        <v>0</v>
      </c>
      <c r="O73" s="2">
        <f>Tabela1[[#This Row],[Total]]*$B$4</f>
        <v>0</v>
      </c>
      <c r="P73" s="2">
        <f>Tabela1[[#This Row],[IR]]-Tabela1[[#This Row],[IR ret]]</f>
        <v>0</v>
      </c>
      <c r="Q73" s="2">
        <f>SUMIFS(NFs!$G:$G,NFs!$H:$H,"="&amp;TRUE,NFs!$B:$B,"&gt;="&amp;Tabela1[[#This Row],[mes]],NFs!$B:$B,"&lt;"&amp;ResumoMensal!A74)</f>
        <v>0</v>
      </c>
      <c r="R73" s="2">
        <f>Tabela1[[#This Row],[Total]]*$B$5</f>
        <v>0</v>
      </c>
      <c r="S73" s="2">
        <f>Tabela1[[#This Row],[CSLL]]-Tabela1[[#This Row],[CSLL Ret]]</f>
        <v>0</v>
      </c>
    </row>
    <row r="74" spans="1:19" x14ac:dyDescent="0.25">
      <c r="A74" s="9">
        <v>47331</v>
      </c>
      <c r="B74" s="2">
        <f>SUMIFS(NFs!$C:$C,NFs!$H:$H,"="&amp;TRUE,NFs!$B:$B,"&gt;="&amp;Tabela1[[#This Row],[mes]],NFs!$B:$B,"&lt;"&amp;ResumoMensal!A75)</f>
        <v>0</v>
      </c>
      <c r="G74" s="2">
        <f>SUM(Tabela1[[#This Row],[Nfs]:[Aluguel]])</f>
        <v>0</v>
      </c>
      <c r="H74" s="2">
        <f>SUMIFS(NFs!$D:$D,NFs!$H:$H,"="&amp;TRUE,NFs!$B:$B,"&gt;="&amp;Tabela1[[#This Row],[mes]],NFs!$B:$B,"&lt;"&amp;ResumoMensal!A75)</f>
        <v>0</v>
      </c>
      <c r="I74" s="2">
        <f>Tabela1[[#This Row],[Total]]*$B$2</f>
        <v>0</v>
      </c>
      <c r="J74" s="2">
        <f>Tabela1[[#This Row],[PIS]]-Tabela1[[#This Row],[Pis Ret]]</f>
        <v>0</v>
      </c>
      <c r="K74" s="2">
        <f>SUMIFS(NFs!$E:$E,NFs!$H:$H,"="&amp;TRUE,NFs!$B:$B,"&gt;="&amp;Tabela1[[#This Row],[mes]],NFs!$B:$B,"&lt;"&amp;ResumoMensal!A75)</f>
        <v>0</v>
      </c>
      <c r="L74" s="2">
        <f>Tabela1[[#This Row],[Total]]*$B$3</f>
        <v>0</v>
      </c>
      <c r="M74" s="2">
        <f>Tabela1[[#This Row],[Cofins]]-Tabela1[[#This Row],[Cofins Ret]]</f>
        <v>0</v>
      </c>
      <c r="N74" s="2">
        <f>SUMIFS(NFs!$F:$F,NFs!$H:$H,"="&amp;TRUE,NFs!$B:$B,"&gt;="&amp;Tabela1[[#This Row],[mes]],NFs!$B:$B,"&lt;"&amp;ResumoMensal!A75)</f>
        <v>0</v>
      </c>
      <c r="O74" s="2">
        <f>Tabela1[[#This Row],[Total]]*$B$4</f>
        <v>0</v>
      </c>
      <c r="P74" s="2">
        <f>Tabela1[[#This Row],[IR]]-Tabela1[[#This Row],[IR ret]]</f>
        <v>0</v>
      </c>
      <c r="Q74" s="2">
        <f>SUMIFS(NFs!$G:$G,NFs!$H:$H,"="&amp;TRUE,NFs!$B:$B,"&gt;="&amp;Tabela1[[#This Row],[mes]],NFs!$B:$B,"&lt;"&amp;ResumoMensal!A75)</f>
        <v>0</v>
      </c>
      <c r="R74" s="2">
        <f>Tabela1[[#This Row],[Total]]*$B$5</f>
        <v>0</v>
      </c>
      <c r="S74" s="2">
        <f>Tabela1[[#This Row],[CSLL]]-Tabela1[[#This Row],[CSLL Ret]]</f>
        <v>0</v>
      </c>
    </row>
    <row r="75" spans="1:19" x14ac:dyDescent="0.25">
      <c r="A75" s="9">
        <v>47362</v>
      </c>
      <c r="B75" s="2">
        <f>SUMIFS(NFs!$C:$C,NFs!$H:$H,"="&amp;TRUE,NFs!$B:$B,"&gt;="&amp;Tabela1[[#This Row],[mes]],NFs!$B:$B,"&lt;"&amp;ResumoMensal!A76)</f>
        <v>0</v>
      </c>
      <c r="G75" s="2">
        <f>SUM(Tabela1[[#This Row],[Nfs]:[Aluguel]])</f>
        <v>0</v>
      </c>
      <c r="H75" s="2">
        <f>SUMIFS(NFs!$D:$D,NFs!$H:$H,"="&amp;TRUE,NFs!$B:$B,"&gt;="&amp;Tabela1[[#This Row],[mes]],NFs!$B:$B,"&lt;"&amp;ResumoMensal!A76)</f>
        <v>0</v>
      </c>
      <c r="I75" s="2">
        <f>Tabela1[[#This Row],[Total]]*$B$2</f>
        <v>0</v>
      </c>
      <c r="J75" s="2">
        <f>Tabela1[[#This Row],[PIS]]-Tabela1[[#This Row],[Pis Ret]]</f>
        <v>0</v>
      </c>
      <c r="K75" s="2">
        <f>SUMIFS(NFs!$E:$E,NFs!$H:$H,"="&amp;TRUE,NFs!$B:$B,"&gt;="&amp;Tabela1[[#This Row],[mes]],NFs!$B:$B,"&lt;"&amp;ResumoMensal!A76)</f>
        <v>0</v>
      </c>
      <c r="L75" s="2">
        <f>Tabela1[[#This Row],[Total]]*$B$3</f>
        <v>0</v>
      </c>
      <c r="M75" s="2">
        <f>Tabela1[[#This Row],[Cofins]]-Tabela1[[#This Row],[Cofins Ret]]</f>
        <v>0</v>
      </c>
      <c r="N75" s="2">
        <f>SUMIFS(NFs!$F:$F,NFs!$H:$H,"="&amp;TRUE,NFs!$B:$B,"&gt;="&amp;Tabela1[[#This Row],[mes]],NFs!$B:$B,"&lt;"&amp;ResumoMensal!A76)</f>
        <v>0</v>
      </c>
      <c r="O75" s="2">
        <f>Tabela1[[#This Row],[Total]]*$B$4</f>
        <v>0</v>
      </c>
      <c r="P75" s="2">
        <f>Tabela1[[#This Row],[IR]]-Tabela1[[#This Row],[IR ret]]</f>
        <v>0</v>
      </c>
      <c r="Q75" s="2">
        <f>SUMIFS(NFs!$G:$G,NFs!$H:$H,"="&amp;TRUE,NFs!$B:$B,"&gt;="&amp;Tabela1[[#This Row],[mes]],NFs!$B:$B,"&lt;"&amp;ResumoMensal!A76)</f>
        <v>0</v>
      </c>
      <c r="R75" s="2">
        <f>Tabela1[[#This Row],[Total]]*$B$5</f>
        <v>0</v>
      </c>
      <c r="S75" s="2">
        <f>Tabela1[[#This Row],[CSLL]]-Tabela1[[#This Row],[CSLL Ret]]</f>
        <v>0</v>
      </c>
    </row>
    <row r="76" spans="1:19" x14ac:dyDescent="0.25">
      <c r="A76" s="9">
        <v>47392</v>
      </c>
      <c r="B76" s="2">
        <f>SUMIFS(NFs!$C:$C,NFs!$H:$H,"="&amp;TRUE,NFs!$B:$B,"&gt;="&amp;Tabela1[[#This Row],[mes]],NFs!$B:$B,"&lt;"&amp;ResumoMensal!A77)</f>
        <v>0</v>
      </c>
      <c r="G76" s="2">
        <f>SUM(Tabela1[[#This Row],[Nfs]:[Aluguel]])</f>
        <v>0</v>
      </c>
      <c r="H76" s="2">
        <f>SUMIFS(NFs!$D:$D,NFs!$H:$H,"="&amp;TRUE,NFs!$B:$B,"&gt;="&amp;Tabela1[[#This Row],[mes]],NFs!$B:$B,"&lt;"&amp;ResumoMensal!A77)</f>
        <v>0</v>
      </c>
      <c r="I76" s="2">
        <f>Tabela1[[#This Row],[Total]]*$B$2</f>
        <v>0</v>
      </c>
      <c r="J76" s="2">
        <f>Tabela1[[#This Row],[PIS]]-Tabela1[[#This Row],[Pis Ret]]</f>
        <v>0</v>
      </c>
      <c r="K76" s="2">
        <f>SUMIFS(NFs!$E:$E,NFs!$H:$H,"="&amp;TRUE,NFs!$B:$B,"&gt;="&amp;Tabela1[[#This Row],[mes]],NFs!$B:$B,"&lt;"&amp;ResumoMensal!A77)</f>
        <v>0</v>
      </c>
      <c r="L76" s="2">
        <f>Tabela1[[#This Row],[Total]]*$B$3</f>
        <v>0</v>
      </c>
      <c r="M76" s="2">
        <f>Tabela1[[#This Row],[Cofins]]-Tabela1[[#This Row],[Cofins Ret]]</f>
        <v>0</v>
      </c>
      <c r="N76" s="2">
        <f>SUMIFS(NFs!$F:$F,NFs!$H:$H,"="&amp;TRUE,NFs!$B:$B,"&gt;="&amp;Tabela1[[#This Row],[mes]],NFs!$B:$B,"&lt;"&amp;ResumoMensal!A77)</f>
        <v>0</v>
      </c>
      <c r="O76" s="2">
        <f>Tabela1[[#This Row],[Total]]*$B$4</f>
        <v>0</v>
      </c>
      <c r="P76" s="2">
        <f>Tabela1[[#This Row],[IR]]-Tabela1[[#This Row],[IR ret]]</f>
        <v>0</v>
      </c>
      <c r="Q76" s="2">
        <f>SUMIFS(NFs!$G:$G,NFs!$H:$H,"="&amp;TRUE,NFs!$B:$B,"&gt;="&amp;Tabela1[[#This Row],[mes]],NFs!$B:$B,"&lt;"&amp;ResumoMensal!A77)</f>
        <v>0</v>
      </c>
      <c r="R76" s="2">
        <f>Tabela1[[#This Row],[Total]]*$B$5</f>
        <v>0</v>
      </c>
      <c r="S76" s="2">
        <f>Tabela1[[#This Row],[CSLL]]-Tabela1[[#This Row],[CSLL Ret]]</f>
        <v>0</v>
      </c>
    </row>
    <row r="77" spans="1:19" x14ac:dyDescent="0.25">
      <c r="A77" s="9">
        <v>47423</v>
      </c>
      <c r="B77" s="2">
        <f>SUMIFS(NFs!$C:$C,NFs!$H:$H,"="&amp;TRUE,NFs!$B:$B,"&gt;="&amp;Tabela1[[#This Row],[mes]],NFs!$B:$B,"&lt;"&amp;ResumoMensal!A78)</f>
        <v>0</v>
      </c>
      <c r="G77" s="2">
        <f>SUM(Tabela1[[#This Row],[Nfs]:[Aluguel]])</f>
        <v>0</v>
      </c>
      <c r="H77" s="2">
        <f>SUMIFS(NFs!$D:$D,NFs!$H:$H,"="&amp;TRUE,NFs!$B:$B,"&gt;="&amp;Tabela1[[#This Row],[mes]],NFs!$B:$B,"&lt;"&amp;ResumoMensal!A78)</f>
        <v>0</v>
      </c>
      <c r="I77" s="2">
        <f>Tabela1[[#This Row],[Total]]*$B$2</f>
        <v>0</v>
      </c>
      <c r="J77" s="2">
        <f>Tabela1[[#This Row],[PIS]]-Tabela1[[#This Row],[Pis Ret]]</f>
        <v>0</v>
      </c>
      <c r="K77" s="2">
        <f>SUMIFS(NFs!$E:$E,NFs!$H:$H,"="&amp;TRUE,NFs!$B:$B,"&gt;="&amp;Tabela1[[#This Row],[mes]],NFs!$B:$B,"&lt;"&amp;ResumoMensal!A78)</f>
        <v>0</v>
      </c>
      <c r="L77" s="2">
        <f>Tabela1[[#This Row],[Total]]*$B$3</f>
        <v>0</v>
      </c>
      <c r="M77" s="2">
        <f>Tabela1[[#This Row],[Cofins]]-Tabela1[[#This Row],[Cofins Ret]]</f>
        <v>0</v>
      </c>
      <c r="N77" s="2">
        <f>SUMIFS(NFs!$F:$F,NFs!$H:$H,"="&amp;TRUE,NFs!$B:$B,"&gt;="&amp;Tabela1[[#This Row],[mes]],NFs!$B:$B,"&lt;"&amp;ResumoMensal!A78)</f>
        <v>0</v>
      </c>
      <c r="O77" s="2">
        <f>Tabela1[[#This Row],[Total]]*$B$4</f>
        <v>0</v>
      </c>
      <c r="P77" s="2">
        <f>Tabela1[[#This Row],[IR]]-Tabela1[[#This Row],[IR ret]]</f>
        <v>0</v>
      </c>
      <c r="Q77" s="2">
        <f>SUMIFS(NFs!$G:$G,NFs!$H:$H,"="&amp;TRUE,NFs!$B:$B,"&gt;="&amp;Tabela1[[#This Row],[mes]],NFs!$B:$B,"&lt;"&amp;ResumoMensal!A78)</f>
        <v>0</v>
      </c>
      <c r="R77" s="2">
        <f>Tabela1[[#This Row],[Total]]*$B$5</f>
        <v>0</v>
      </c>
      <c r="S77" s="2">
        <f>Tabela1[[#This Row],[CSLL]]-Tabela1[[#This Row],[CSLL Ret]]</f>
        <v>0</v>
      </c>
    </row>
    <row r="78" spans="1:19" x14ac:dyDescent="0.25">
      <c r="A78" s="9">
        <v>47453</v>
      </c>
      <c r="B78" s="2">
        <f>SUMIFS(NFs!$C:$C,NFs!$H:$H,"="&amp;TRUE,NFs!$B:$B,"&gt;="&amp;Tabela1[[#This Row],[mes]],NFs!$B:$B,"&lt;"&amp;ResumoMensal!A79)</f>
        <v>0</v>
      </c>
      <c r="G78" s="2">
        <f>SUM(Tabela1[[#This Row],[Nfs]:[Aluguel]])</f>
        <v>0</v>
      </c>
      <c r="H78" s="2">
        <f>SUMIFS(NFs!$D:$D,NFs!$H:$H,"="&amp;TRUE,NFs!$B:$B,"&gt;="&amp;Tabela1[[#This Row],[mes]],NFs!$B:$B,"&lt;"&amp;ResumoMensal!A79)</f>
        <v>0</v>
      </c>
      <c r="I78" s="2">
        <f>Tabela1[[#This Row],[Total]]*$B$2</f>
        <v>0</v>
      </c>
      <c r="J78" s="2">
        <f>Tabela1[[#This Row],[PIS]]-Tabela1[[#This Row],[Pis Ret]]</f>
        <v>0</v>
      </c>
      <c r="K78" s="2">
        <f>SUMIFS(NFs!$E:$E,NFs!$H:$H,"="&amp;TRUE,NFs!$B:$B,"&gt;="&amp;Tabela1[[#This Row],[mes]],NFs!$B:$B,"&lt;"&amp;ResumoMensal!A79)</f>
        <v>0</v>
      </c>
      <c r="L78" s="2">
        <f>Tabela1[[#This Row],[Total]]*$B$3</f>
        <v>0</v>
      </c>
      <c r="M78" s="2">
        <f>Tabela1[[#This Row],[Cofins]]-Tabela1[[#This Row],[Cofins Ret]]</f>
        <v>0</v>
      </c>
      <c r="N78" s="2">
        <f>SUMIFS(NFs!$F:$F,NFs!$H:$H,"="&amp;TRUE,NFs!$B:$B,"&gt;="&amp;Tabela1[[#This Row],[mes]],NFs!$B:$B,"&lt;"&amp;ResumoMensal!A79)</f>
        <v>0</v>
      </c>
      <c r="O78" s="2">
        <f>Tabela1[[#This Row],[Total]]*$B$4</f>
        <v>0</v>
      </c>
      <c r="P78" s="2">
        <f>Tabela1[[#This Row],[IR]]-Tabela1[[#This Row],[IR ret]]</f>
        <v>0</v>
      </c>
      <c r="Q78" s="2">
        <f>SUMIFS(NFs!$G:$G,NFs!$H:$H,"="&amp;TRUE,NFs!$B:$B,"&gt;="&amp;Tabela1[[#This Row],[mes]],NFs!$B:$B,"&lt;"&amp;ResumoMensal!A79)</f>
        <v>0</v>
      </c>
      <c r="R78" s="2">
        <f>Tabela1[[#This Row],[Total]]*$B$5</f>
        <v>0</v>
      </c>
      <c r="S78" s="2">
        <f>Tabela1[[#This Row],[CSLL]]-Tabela1[[#This Row],[CSLL Ret]]</f>
        <v>0</v>
      </c>
    </row>
    <row r="79" spans="1:19" x14ac:dyDescent="0.25">
      <c r="A79" s="9">
        <v>47484</v>
      </c>
      <c r="B79" s="2">
        <f>SUMIFS(NFs!$C:$C,NFs!$H:$H,"="&amp;TRUE,NFs!$B:$B,"&gt;="&amp;Tabela1[[#This Row],[mes]],NFs!$B:$B,"&lt;"&amp;ResumoMensal!A80)</f>
        <v>0</v>
      </c>
      <c r="G79" s="2">
        <f>SUM(Tabela1[[#This Row],[Nfs]:[Aluguel]])</f>
        <v>0</v>
      </c>
      <c r="H79" s="2">
        <f>SUMIFS(NFs!$D:$D,NFs!$H:$H,"="&amp;TRUE,NFs!$B:$B,"&gt;="&amp;Tabela1[[#This Row],[mes]],NFs!$B:$B,"&lt;"&amp;ResumoMensal!A80)</f>
        <v>0</v>
      </c>
      <c r="I79" s="2">
        <f>Tabela1[[#This Row],[Total]]*$B$2</f>
        <v>0</v>
      </c>
      <c r="J79" s="2">
        <f>Tabela1[[#This Row],[PIS]]-Tabela1[[#This Row],[Pis Ret]]</f>
        <v>0</v>
      </c>
      <c r="K79" s="2">
        <f>SUMIFS(NFs!$E:$E,NFs!$H:$H,"="&amp;TRUE,NFs!$B:$B,"&gt;="&amp;Tabela1[[#This Row],[mes]],NFs!$B:$B,"&lt;"&amp;ResumoMensal!A80)</f>
        <v>0</v>
      </c>
      <c r="L79" s="2">
        <f>Tabela1[[#This Row],[Total]]*$B$3</f>
        <v>0</v>
      </c>
      <c r="M79" s="2">
        <f>Tabela1[[#This Row],[Cofins]]-Tabela1[[#This Row],[Cofins Ret]]</f>
        <v>0</v>
      </c>
      <c r="N79" s="2">
        <f>SUMIFS(NFs!$F:$F,NFs!$H:$H,"="&amp;TRUE,NFs!$B:$B,"&gt;="&amp;Tabela1[[#This Row],[mes]],NFs!$B:$B,"&lt;"&amp;ResumoMensal!A80)</f>
        <v>0</v>
      </c>
      <c r="O79" s="2">
        <f>Tabela1[[#This Row],[Total]]*$B$4</f>
        <v>0</v>
      </c>
      <c r="P79" s="2">
        <f>Tabela1[[#This Row],[IR]]-Tabela1[[#This Row],[IR ret]]</f>
        <v>0</v>
      </c>
      <c r="Q79" s="2">
        <f>SUMIFS(NFs!$G:$G,NFs!$H:$H,"="&amp;TRUE,NFs!$B:$B,"&gt;="&amp;Tabela1[[#This Row],[mes]],NFs!$B:$B,"&lt;"&amp;ResumoMensal!A80)</f>
        <v>0</v>
      </c>
      <c r="R79" s="2">
        <f>Tabela1[[#This Row],[Total]]*$B$5</f>
        <v>0</v>
      </c>
      <c r="S79" s="2">
        <f>Tabela1[[#This Row],[CSLL]]-Tabela1[[#This Row],[CSLL Ret]]</f>
        <v>0</v>
      </c>
    </row>
  </sheetData>
  <phoneticPr fontId="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AF3E3-AC77-4D0B-98BC-4CBE7A1F816B}">
  <sheetPr codeName="Planilha1"/>
  <dimension ref="A1:H1"/>
  <sheetViews>
    <sheetView workbookViewId="0">
      <selection activeCell="H11" sqref="H11"/>
    </sheetView>
  </sheetViews>
  <sheetFormatPr defaultRowHeight="15" x14ac:dyDescent="0.25"/>
  <cols>
    <col min="1" max="1" width="10.140625" bestFit="1" customWidth="1"/>
    <col min="2" max="2" width="14.42578125" style="1" bestFit="1" customWidth="1"/>
    <col min="3" max="3" width="14.5703125" style="2" customWidth="1"/>
    <col min="4" max="4" width="9.85546875" style="2" customWidth="1"/>
    <col min="5" max="5" width="13" style="2" customWidth="1"/>
    <col min="6" max="6" width="9.85546875" style="2" bestFit="1" customWidth="1"/>
    <col min="7" max="7" width="10.5703125" style="2" customWidth="1"/>
    <col min="8" max="8" width="12" customWidth="1"/>
    <col min="9" max="9" width="10.85546875" customWidth="1"/>
  </cols>
  <sheetData>
    <row r="1" spans="1:8" x14ac:dyDescent="0.25">
      <c r="A1" s="29" t="s">
        <v>0</v>
      </c>
      <c r="B1" s="30" t="s">
        <v>6</v>
      </c>
      <c r="C1" s="31" t="s">
        <v>1</v>
      </c>
      <c r="D1" s="31" t="s">
        <v>2</v>
      </c>
      <c r="E1" s="31" t="s">
        <v>3</v>
      </c>
      <c r="F1" s="31" t="s">
        <v>4</v>
      </c>
      <c r="G1" s="31" t="s">
        <v>5</v>
      </c>
      <c r="H1" s="32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AB175-1B00-4DF8-9B3E-9CACB49D407F}">
  <sheetPr codeName="Planilha2"/>
  <dimension ref="B1:C11"/>
  <sheetViews>
    <sheetView workbookViewId="0">
      <selection activeCell="L22" sqref="L22"/>
    </sheetView>
  </sheetViews>
  <sheetFormatPr defaultRowHeight="15" x14ac:dyDescent="0.25"/>
  <cols>
    <col min="1" max="1" width="71.140625" bestFit="1" customWidth="1"/>
  </cols>
  <sheetData>
    <row r="1" spans="2:3" x14ac:dyDescent="0.25">
      <c r="B1" t="s">
        <v>34</v>
      </c>
      <c r="C1">
        <v>2</v>
      </c>
    </row>
    <row r="2" spans="2:3" x14ac:dyDescent="0.25">
      <c r="B2" t="s">
        <v>35</v>
      </c>
      <c r="C2">
        <v>0</v>
      </c>
    </row>
    <row r="3" spans="2:3" x14ac:dyDescent="0.25">
      <c r="C3">
        <v>0</v>
      </c>
    </row>
    <row r="4" spans="2:3" x14ac:dyDescent="0.25">
      <c r="C4">
        <v>0</v>
      </c>
    </row>
    <row r="5" spans="2:3" x14ac:dyDescent="0.25">
      <c r="C5">
        <v>0</v>
      </c>
    </row>
    <row r="6" spans="2:3" x14ac:dyDescent="0.25">
      <c r="C6">
        <v>0</v>
      </c>
    </row>
    <row r="7" spans="2:3" x14ac:dyDescent="0.25">
      <c r="C7">
        <v>0</v>
      </c>
    </row>
    <row r="8" spans="2:3" x14ac:dyDescent="0.25">
      <c r="C8">
        <v>0</v>
      </c>
    </row>
    <row r="9" spans="2:3" x14ac:dyDescent="0.25">
      <c r="C9">
        <v>0</v>
      </c>
    </row>
    <row r="10" spans="2:3" x14ac:dyDescent="0.25">
      <c r="C10">
        <v>0</v>
      </c>
    </row>
    <row r="11" spans="2:3" x14ac:dyDescent="0.25">
      <c r="C11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ResumoMensal</vt:lpstr>
      <vt:lpstr>NFs</vt:lpstr>
      <vt:lpstr>filelist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 Figueiredo Leroy Silva</dc:creator>
  <cp:lastModifiedBy>Paulo Henrique Figueiredo Leroy Silva</cp:lastModifiedBy>
  <dcterms:created xsi:type="dcterms:W3CDTF">2025-01-28T18:52:26Z</dcterms:created>
  <dcterms:modified xsi:type="dcterms:W3CDTF">2025-04-11T17:58:50Z</dcterms:modified>
</cp:coreProperties>
</file>